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D-PC\Desktop\"/>
    </mc:Choice>
  </mc:AlternateContent>
  <xr:revisionPtr revIDLastSave="0" documentId="13_ncr:1_{CF11A543-7CA4-4E7D-86DE-51E33806B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6" i="1" l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B366" i="1"/>
  <c r="AW365" i="1" l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369" i="1" l="1"/>
</calcChain>
</file>

<file path=xl/sharedStrings.xml><?xml version="1.0" encoding="utf-8"?>
<sst xmlns="http://schemas.openxmlformats.org/spreadsheetml/2006/main" count="3" uniqueCount="3">
  <si>
    <t>Date</t>
  </si>
  <si>
    <t>TOTAL 30 Min Interval Data</t>
  </si>
  <si>
    <t>Total Annual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</si>
</sst>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0.00000"/>
    <numFmt numFmtId="166" formatCode="0.000"/>
    <numFmt numFmtId="167" formatCode="0&quot;kWh&quot;"/>
    <numFmt numFmtId="168" formatCode="#,##0&quot;kWh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20" fontId="1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/>
    <xf numFmtId="0" fontId="0" fillId="2" borderId="1" xfId="0" applyFill="1" applyBorder="1"/>
    <xf numFmtId="167" fontId="0" fillId="2" borderId="1" xfId="0" applyNumberFormat="1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9"/>
  <sheetViews>
    <sheetView tabSelected="1" topLeftCell="A342" workbookViewId="0">
      <selection activeCell="A368" sqref="A368"/>
    </sheetView>
  </sheetViews>
  <sheetFormatPr defaultRowHeight="15" x14ac:dyDescent="0.25"/>
  <cols>
    <col min="1" max="1" width="25" bestFit="1" customWidth="1"/>
    <col min="2" max="2" width="10.5703125" style="1" bestFit="1" customWidth="1"/>
    <col min="3" max="19" width="9.5703125" style="1" bestFit="1" customWidth="1"/>
    <col min="20" max="26" width="8.5703125" style="1" bestFit="1" customWidth="1"/>
    <col min="27" max="27" width="10.5703125" style="1" bestFit="1" customWidth="1"/>
    <col min="28" max="36" width="8.5703125" style="1" bestFit="1" customWidth="1"/>
    <col min="37" max="49" width="9.5703125" style="1" bestFit="1" customWidth="1"/>
  </cols>
  <sheetData>
    <row r="1" spans="1:49" x14ac:dyDescent="0.25">
      <c r="A1" s="3" t="s">
        <v>0</v>
      </c>
      <c r="B1" s="4">
        <v>0</v>
      </c>
      <c r="C1" s="4">
        <v>2.0833333333333332E-2</v>
      </c>
      <c r="D1" s="4">
        <v>4.1666666666666699E-2</v>
      </c>
      <c r="E1" s="4">
        <v>6.25E-2</v>
      </c>
      <c r="F1" s="4">
        <v>8.3333333333333301E-2</v>
      </c>
      <c r="G1" s="4">
        <v>0.104166666666667</v>
      </c>
      <c r="H1" s="4">
        <v>0.125</v>
      </c>
      <c r="I1" s="4">
        <v>0.14583333333333301</v>
      </c>
      <c r="J1" s="4">
        <v>0.16666666666666699</v>
      </c>
      <c r="K1" s="4">
        <v>0.1875</v>
      </c>
      <c r="L1" s="4">
        <v>0.20833333333333301</v>
      </c>
      <c r="M1" s="4">
        <v>0.22916666666666699</v>
      </c>
      <c r="N1" s="4">
        <v>0.25</v>
      </c>
      <c r="O1" s="4">
        <v>0.27083333333333298</v>
      </c>
      <c r="P1" s="4">
        <v>0.29166666666666702</v>
      </c>
      <c r="Q1" s="4">
        <v>0.3125</v>
      </c>
      <c r="R1" s="4">
        <v>0.33333333333333298</v>
      </c>
      <c r="S1" s="4">
        <v>0.35416666666666702</v>
      </c>
      <c r="T1" s="4">
        <v>0.375</v>
      </c>
      <c r="U1" s="4">
        <v>0.39583333333333298</v>
      </c>
      <c r="V1" s="4">
        <v>0.41666666666666702</v>
      </c>
      <c r="W1" s="4">
        <v>0.4375</v>
      </c>
      <c r="X1" s="4">
        <v>0.45833333333333298</v>
      </c>
      <c r="Y1" s="4">
        <v>0.47916666666666702</v>
      </c>
      <c r="Z1" s="4">
        <v>0.5</v>
      </c>
      <c r="AA1" s="4">
        <v>0.52083333333333304</v>
      </c>
      <c r="AB1" s="4">
        <v>0.54166666666666696</v>
      </c>
      <c r="AC1" s="4">
        <v>0.5625</v>
      </c>
      <c r="AD1" s="4">
        <v>0.58333333333333304</v>
      </c>
      <c r="AE1" s="4">
        <v>0.60416666666666696</v>
      </c>
      <c r="AF1" s="4">
        <v>0.625</v>
      </c>
      <c r="AG1" s="4">
        <v>0.64583333333333304</v>
      </c>
      <c r="AH1" s="4">
        <v>0.66666666666666696</v>
      </c>
      <c r="AI1" s="4">
        <v>0.6875</v>
      </c>
      <c r="AJ1" s="4">
        <v>0.70833333333333304</v>
      </c>
      <c r="AK1" s="4">
        <v>0.72916666666666696</v>
      </c>
      <c r="AL1" s="4">
        <v>0.75</v>
      </c>
      <c r="AM1" s="4">
        <v>0.77083333333333304</v>
      </c>
      <c r="AN1" s="4">
        <v>0.79166666666666696</v>
      </c>
      <c r="AO1" s="4">
        <v>0.8125</v>
      </c>
      <c r="AP1" s="4">
        <v>0.83333333333333304</v>
      </c>
      <c r="AQ1" s="4">
        <v>0.85416666666666696</v>
      </c>
      <c r="AR1" s="4">
        <v>0.875</v>
      </c>
      <c r="AS1" s="4">
        <v>0.89583333333333304</v>
      </c>
      <c r="AT1" s="4">
        <v>0.91666666666666696</v>
      </c>
      <c r="AU1" s="4">
        <v>0.9375</v>
      </c>
      <c r="AV1" s="4">
        <v>0.95833333333333304</v>
      </c>
      <c r="AW1" s="4">
        <v>0.97916666666666696</v>
      </c>
    </row>
    <row r="2" spans="1:49" x14ac:dyDescent="0.25">
      <c r="A2" s="5">
        <v>45624</v>
      </c>
      <c r="B2" s="2">
        <v>0.245</v>
      </c>
      <c r="C2" s="2">
        <f>0.225390758477893*(8350/2783.333)</f>
        <v>0.67617235641240336</v>
      </c>
      <c r="D2" s="2">
        <f>0.186608376597608*(8350/2783.333)</f>
        <v>0.55982519683775656</v>
      </c>
      <c r="E2" s="2">
        <f>0.313181702238256*(8350/2783.333)</f>
        <v>0.93954521923515333</v>
      </c>
      <c r="F2" s="2">
        <f>0.379640439454446*(8350/2783.333)</f>
        <v>1.1389214547611168</v>
      </c>
      <c r="G2" s="2">
        <f>0.41931390768509*(8350/2783.333)</f>
        <v>1.2579418737069916</v>
      </c>
      <c r="H2" s="2">
        <f>0.426405495118599*(8350/2783.333)</f>
        <v>1.2792166385553938</v>
      </c>
      <c r="I2" s="2">
        <f>0.341102589348855*(8350/2783.333)</f>
        <v>1.0233078905984088</v>
      </c>
      <c r="J2" s="2">
        <f>0.188549394534575*(8350/2783.333)</f>
        <v>0.56564825134603025</v>
      </c>
      <c r="K2" s="2">
        <f>0.250890644941392*(8350/2783.333)</f>
        <v>0.75267202496453733</v>
      </c>
      <c r="L2" s="2">
        <f>0.249216238875858*(8350/2783.333)</f>
        <v>0.74764880616635432</v>
      </c>
      <c r="M2" s="2">
        <f>0.256842196693906*(8350/2783.333)</f>
        <v>0.77052668236036159</v>
      </c>
      <c r="N2" s="2">
        <f>0.24467165435019*(8350/2783.333)</f>
        <v>0.73401505095656383</v>
      </c>
      <c r="O2" s="2">
        <f>0.5243169199202*(8350/2783.333)</f>
        <v>1.5729509481379587</v>
      </c>
      <c r="P2" s="2">
        <f>0.351751450253688*(8350/2783.333)</f>
        <v>1.055254477138845</v>
      </c>
      <c r="Q2" s="2">
        <f>0.438172364921861*(8350/2783.333)</f>
        <v>1.3145172521927988</v>
      </c>
      <c r="R2" s="2">
        <f>0.477510402912086*(8350/2783.333)</f>
        <v>1.4325313802969013</v>
      </c>
      <c r="S2" s="2">
        <f>0.159628583372075*(8350/2783.333)</f>
        <v>0.47888580746781778</v>
      </c>
      <c r="T2" s="2">
        <f t="shared" ref="T2:T65" si="0">0.0335641401031546*(8350/2783.333)</f>
        <v>0.10069243236843764</v>
      </c>
      <c r="U2" s="2">
        <f t="shared" ref="U2:U65" si="1">0.0381259765226317*(8350/2783.333)</f>
        <v>0.11437794326585224</v>
      </c>
      <c r="V2" s="2">
        <f t="shared" ref="V2:V65" si="2">0.036812919036393*(8350/2783.333)</f>
        <v>0.11043877033537902</v>
      </c>
      <c r="W2" s="2">
        <f t="shared" ref="W2:W65" si="3">0.0356858110819965*(8350/2783.333)</f>
        <v>0.10705744606724045</v>
      </c>
      <c r="X2" s="2">
        <f t="shared" ref="X2:X65" si="4">0.0390951079947847*(8350/2783.333)</f>
        <v>0.11728533803050227</v>
      </c>
      <c r="Y2" s="2">
        <f t="shared" ref="Y2:Y65" si="5">0.0364267306489037*(8350/2783.333)</f>
        <v>0.10928020503416074</v>
      </c>
      <c r="Z2" s="2">
        <f t="shared" ref="Z2:Z65" si="6">0.035265222488527*(8350/2783.333)</f>
        <v>0.10579568013572224</v>
      </c>
      <c r="AA2" s="2">
        <f t="shared" ref="AA2:AA65" si="7">0.0393292379283912*(8350/2783.333)</f>
        <v>0.11798772791544039</v>
      </c>
      <c r="AB2" s="2">
        <f t="shared" ref="AB2:AB65" si="8">0.0334225199074883*(8350/2783.333)</f>
        <v>0.10026757173055721</v>
      </c>
      <c r="AC2" s="2">
        <f t="shared" ref="AC2:AC65" si="9">0.0383967162275365*(8350/2783.333)</f>
        <v>0.1151901624778385</v>
      </c>
      <c r="AD2" s="2">
        <f t="shared" ref="AD2:AD65" si="10">0.0340914770647198*(8350/2783.333)</f>
        <v>0.10227444344259566</v>
      </c>
      <c r="AE2" s="2">
        <f t="shared" ref="AE2:AE65" si="11">0.0366256459076532*(8350/2783.333)</f>
        <v>0.10987695088187602</v>
      </c>
      <c r="AF2" s="2">
        <f t="shared" ref="AF2:AF65" si="12">0.0396957031510002*(8350/2783.333)</f>
        <v>0.11908712371493149</v>
      </c>
      <c r="AG2" s="2">
        <f t="shared" ref="AG2:AG65" si="13">0.0330784344759505*(8350/2783.333)</f>
        <v>9.9235315312320327E-2</v>
      </c>
      <c r="AH2" s="2">
        <f t="shared" ref="AH2:AH65" si="14">0.0399963802706676*(8350/2783.333)</f>
        <v>0.1199891551819615</v>
      </c>
      <c r="AI2" s="2">
        <f t="shared" ref="AI2:AI65" si="15">0.0336660350095315*(8350/2783.333)</f>
        <v>0.10099811712417744</v>
      </c>
      <c r="AJ2" s="2">
        <f>0.232556804016657*(8350/2783.333)</f>
        <v>0.69767049560332517</v>
      </c>
      <c r="AK2" s="2">
        <f>0.306970203958483*(8350/2783.333)</f>
        <v>0.92091072216415715</v>
      </c>
      <c r="AL2" s="2">
        <f>0.432296997187813*(8350/2783.333)</f>
        <v>1.2968911468797448</v>
      </c>
      <c r="AM2" s="2">
        <f>0.417411118919563*(8350/2783.333)</f>
        <v>1.2522335067267749</v>
      </c>
      <c r="AN2" s="2">
        <f>0.275462273728048*(8350/2783.333)</f>
        <v>0.82638692015263859</v>
      </c>
      <c r="AO2" s="2">
        <f>0.141777767964362*(8350/2783.333)</f>
        <v>0.42533335483121082</v>
      </c>
      <c r="AP2" s="2">
        <f>0.144096465659929*(8350/2783.333)</f>
        <v>0.43228944875097813</v>
      </c>
      <c r="AQ2" s="2">
        <f>0.147712066214228*(8350/2783.333)</f>
        <v>0.44313625171289528</v>
      </c>
      <c r="AR2" s="2">
        <f>0.18359424868729*(8350/2783.333)</f>
        <v>0.5507828120238828</v>
      </c>
      <c r="AS2" s="2">
        <f>0.256931712523913*(8350/2783.333)</f>
        <v>0.77079522988254412</v>
      </c>
      <c r="AT2" s="2">
        <f>0.133783428685644*(8350/2783.333)</f>
        <v>0.40135033412284177</v>
      </c>
      <c r="AU2" s="2">
        <f>0.203016658056825*(8350/2783.333)</f>
        <v>0.60905004711059985</v>
      </c>
      <c r="AV2" s="2">
        <f>0.0913883619923286*(8350/2783.333)</f>
        <v>0.27416511881113176</v>
      </c>
      <c r="AW2" s="2">
        <f>0.0760070174888384*(8350/2783.333)</f>
        <v>0.22802107977442906</v>
      </c>
    </row>
    <row r="3" spans="1:49" x14ac:dyDescent="0.25">
      <c r="A3" s="5">
        <v>45625</v>
      </c>
      <c r="B3" s="2">
        <f>0.204061479604265*(8350/2783.333)</f>
        <v>0.61218451212830693</v>
      </c>
      <c r="C3" s="2">
        <f>0.215298634963957*(8350/2783.333)</f>
        <v>0.64589598224468414</v>
      </c>
      <c r="D3" s="2">
        <f>0.188955651774936*(8350/2783.333)</f>
        <v>0.56686702321307425</v>
      </c>
      <c r="E3" s="2">
        <f>0.227936978552103*(8350/2783.333)</f>
        <v>0.68381101754984486</v>
      </c>
      <c r="F3" s="2">
        <f>0.184742724137812*(8350/2783.333)</f>
        <v>0.55422823878807415</v>
      </c>
      <c r="G3" s="2">
        <f>0.230741099483208*(8350/2783.333)</f>
        <v>0.69222338135062722</v>
      </c>
      <c r="H3" s="2">
        <f>0.230631415612859*(8350/2783.333)</f>
        <v>0.69189432970017339</v>
      </c>
      <c r="I3" s="2">
        <f>0.226469751944732*(8350/2783.333)</f>
        <v>0.67940933720058305</v>
      </c>
      <c r="J3" s="2">
        <f>0.19171829192171*(8350/2783.333)</f>
        <v>0.57515494464596284</v>
      </c>
      <c r="K3" s="2">
        <f>0.500209949726574*(8350/2783.333)</f>
        <v>1.500630028895894</v>
      </c>
      <c r="L3" s="2">
        <f>0.324938034327288*(8350/2783.333)</f>
        <v>0.97481421972608095</v>
      </c>
      <c r="M3" s="2">
        <f>0.326449515866525*(8350/2783.333)</f>
        <v>0.97934866488684125</v>
      </c>
      <c r="N3" s="2">
        <f>0.541744806330936*(8350/2783.333)</f>
        <v>1.6252346136316829</v>
      </c>
      <c r="O3" s="2">
        <f>0.548354371836312*(8350/2783.333)</f>
        <v>1.6450633125225071</v>
      </c>
      <c r="P3" s="2">
        <f>0.355199993883626*(8350/2783.333)</f>
        <v>1.0656001092676572</v>
      </c>
      <c r="Q3" s="2">
        <f>0.582972059250183*(8350/2783.333)</f>
        <v>1.7489163872016134</v>
      </c>
      <c r="R3" s="2">
        <f>0.289185957180585*(8350/2783.333)</f>
        <v>0.8675579754409134</v>
      </c>
      <c r="S3" s="2">
        <f>0.336206147604119*(8350/2783.333)</f>
        <v>1.0086185636049989</v>
      </c>
      <c r="T3" s="2">
        <f t="shared" si="0"/>
        <v>0.10069243236843764</v>
      </c>
      <c r="U3" s="2">
        <f t="shared" si="1"/>
        <v>0.11437794326585224</v>
      </c>
      <c r="V3" s="2">
        <f t="shared" si="2"/>
        <v>0.11043877033537902</v>
      </c>
      <c r="W3" s="2">
        <f t="shared" si="3"/>
        <v>0.10705744606724045</v>
      </c>
      <c r="X3" s="2">
        <f t="shared" si="4"/>
        <v>0.11728533803050227</v>
      </c>
      <c r="Y3" s="2">
        <f t="shared" si="5"/>
        <v>0.10928020503416074</v>
      </c>
      <c r="Z3" s="2">
        <f t="shared" si="6"/>
        <v>0.10579568013572224</v>
      </c>
      <c r="AA3" s="2">
        <f t="shared" si="7"/>
        <v>0.11798772791544039</v>
      </c>
      <c r="AB3" s="2">
        <f t="shared" si="8"/>
        <v>0.10026757173055721</v>
      </c>
      <c r="AC3" s="2">
        <f t="shared" si="9"/>
        <v>0.1151901624778385</v>
      </c>
      <c r="AD3" s="2">
        <f t="shared" si="10"/>
        <v>0.10227444344259566</v>
      </c>
      <c r="AE3" s="2">
        <f t="shared" si="11"/>
        <v>0.10987695088187602</v>
      </c>
      <c r="AF3" s="2">
        <f t="shared" si="12"/>
        <v>0.11908712371493149</v>
      </c>
      <c r="AG3" s="2">
        <f t="shared" si="13"/>
        <v>9.9235315312320327E-2</v>
      </c>
      <c r="AH3" s="2">
        <f t="shared" si="14"/>
        <v>0.1199891551819615</v>
      </c>
      <c r="AI3" s="2">
        <f t="shared" si="15"/>
        <v>0.10099811712417744</v>
      </c>
      <c r="AJ3" s="2">
        <f>0.131893363425353*(8350/2783.333)</f>
        <v>0.39568013766290272</v>
      </c>
      <c r="AK3" s="2">
        <f>0.395404002950428*(8350/2783.333)</f>
        <v>1.1862121509126204</v>
      </c>
      <c r="AL3" s="2">
        <f>0.242879629404057*(8350/2783.333)</f>
        <v>0.72863897547432499</v>
      </c>
      <c r="AM3" s="2">
        <f>0.219116050549225*(8350/2783.333)</f>
        <v>0.65734823037201273</v>
      </c>
      <c r="AN3" s="2">
        <f>0.19999741181608*(8350/2783.333)</f>
        <v>0.59999230730360675</v>
      </c>
      <c r="AO3" s="2">
        <f>0.0952149641697501*(8350/2783.333)</f>
        <v>0.28564492671822367</v>
      </c>
      <c r="AP3" s="2">
        <f>0.235218739320023*(8350/2783.333)</f>
        <v>0.70565630246980493</v>
      </c>
      <c r="AQ3" s="2">
        <f>0.17498459220103*(8350/2783.333)</f>
        <v>0.52495383947181307</v>
      </c>
      <c r="AR3" s="2">
        <f>0.143412589277082*(8350/2783.333)</f>
        <v>0.43023781935673427</v>
      </c>
      <c r="AS3" s="2">
        <f>0.129430556058667*(8350/2783.333)</f>
        <v>0.38829171467800216</v>
      </c>
      <c r="AT3" s="2">
        <f>0.173951247347388*(8350/2783.333)</f>
        <v>0.52185380453962593</v>
      </c>
      <c r="AU3" s="2">
        <f>0.20019698225048*(8350/2783.333)</f>
        <v>0.60059101867850806</v>
      </c>
      <c r="AV3" s="2">
        <f>0.193309619943095*(8350/2783.333)</f>
        <v>0.57992892928185169</v>
      </c>
      <c r="AW3" s="2">
        <f>0.123880558156655*(8350/2783.333)</f>
        <v>0.37164171897795467</v>
      </c>
    </row>
    <row r="4" spans="1:49" x14ac:dyDescent="0.25">
      <c r="A4" s="5">
        <v>45626</v>
      </c>
      <c r="B4" s="2">
        <f>0.262898427956983*(8350/2783.333)</f>
        <v>0.78869537832548509</v>
      </c>
      <c r="C4" s="2">
        <f>0.265278675223447*(8350/2783.333)</f>
        <v>0.79583612098005696</v>
      </c>
      <c r="D4" s="2">
        <f>0.208907490782228*(8350/2783.333)</f>
        <v>0.62672254740327504</v>
      </c>
      <c r="E4" s="2">
        <f>0.225157259301468*(8350/2783.333)</f>
        <v>0.67547185879923732</v>
      </c>
      <c r="F4" s="2">
        <f>0.20192809382505*(8350/2783.333)</f>
        <v>0.60578435402417408</v>
      </c>
      <c r="G4" s="2">
        <f>0.251588344611054*(8350/2783.333)</f>
        <v>0.75476512422419451</v>
      </c>
      <c r="H4" s="2">
        <f>0.25402880560257*(8350/2783.333)</f>
        <v>0.762086508075554</v>
      </c>
      <c r="I4" s="2">
        <f>0.253962993435965*(8350/2783.333)</f>
        <v>0.76188907155209407</v>
      </c>
      <c r="J4" s="2">
        <f>0.212316124938093*(8350/2783.333)</f>
        <v>0.63694845109553</v>
      </c>
      <c r="K4" s="2">
        <f>0.278650987701086*(8350/2783.333)</f>
        <v>0.83595306321739837</v>
      </c>
      <c r="L4" s="2">
        <f>0.228829601638935*(8350/2783.333)</f>
        <v>0.68648888713104328</v>
      </c>
      <c r="M4" s="2">
        <f>0.229968484861439*(8350/2783.333)</f>
        <v>0.68990553720773429</v>
      </c>
      <c r="N4" s="2">
        <f>0.209605990522224*(8350/2783.333)</f>
        <v>0.62881804687422216</v>
      </c>
      <c r="O4" s="2">
        <f>0.197933393121737*(8350/2783.333)</f>
        <v>0.59380025047901497</v>
      </c>
      <c r="P4" s="2">
        <f>0.22070679231604*(8350/2783.333)</f>
        <v>0.66212045624398153</v>
      </c>
      <c r="Q4" s="2">
        <f>0.318842323667576*(8350/2783.333)</f>
        <v>0.95652708555686972</v>
      </c>
      <c r="R4" s="2">
        <f>0.188696628430575*(8350/2783.333)</f>
        <v>0.56608995308692867</v>
      </c>
      <c r="S4" s="2">
        <f>0.0659469437096988*(8350/2783.333)</f>
        <v>0.19784085482261196</v>
      </c>
      <c r="T4" s="2">
        <f t="shared" si="0"/>
        <v>0.10069243236843764</v>
      </c>
      <c r="U4" s="2">
        <f t="shared" si="1"/>
        <v>0.11437794326585224</v>
      </c>
      <c r="V4" s="2">
        <f t="shared" si="2"/>
        <v>0.11043877033537902</v>
      </c>
      <c r="W4" s="2">
        <f t="shared" si="3"/>
        <v>0.10705744606724045</v>
      </c>
      <c r="X4" s="2">
        <f t="shared" si="4"/>
        <v>0.11728533803050227</v>
      </c>
      <c r="Y4" s="2">
        <f t="shared" si="5"/>
        <v>0.10928020503416074</v>
      </c>
      <c r="Z4" s="2">
        <f t="shared" si="6"/>
        <v>0.10579568013572224</v>
      </c>
      <c r="AA4" s="2">
        <f t="shared" si="7"/>
        <v>0.11798772791544039</v>
      </c>
      <c r="AB4" s="2">
        <f t="shared" si="8"/>
        <v>0.10026757173055721</v>
      </c>
      <c r="AC4" s="2">
        <f t="shared" si="9"/>
        <v>0.1151901624778385</v>
      </c>
      <c r="AD4" s="2">
        <f t="shared" si="10"/>
        <v>0.10227444344259566</v>
      </c>
      <c r="AE4" s="2">
        <f t="shared" si="11"/>
        <v>0.10987695088187602</v>
      </c>
      <c r="AF4" s="2">
        <f t="shared" si="12"/>
        <v>0.11908712371493149</v>
      </c>
      <c r="AG4" s="2">
        <f t="shared" si="13"/>
        <v>9.9235315312320327E-2</v>
      </c>
      <c r="AH4" s="2">
        <f t="shared" si="14"/>
        <v>0.1199891551819615</v>
      </c>
      <c r="AI4" s="2">
        <f t="shared" si="15"/>
        <v>0.10099811712417744</v>
      </c>
      <c r="AJ4" s="2">
        <f>0.223309108420167*(8350/2783.333)</f>
        <v>0.66992740549132868</v>
      </c>
      <c r="AK4" s="2">
        <f>0.348938786530931*(8350/2783.333)</f>
        <v>1.0468164849600379</v>
      </c>
      <c r="AL4" s="2">
        <f>0.25725120510844*(8350/2783.333)</f>
        <v>0.77175370775091234</v>
      </c>
      <c r="AM4" s="2">
        <f>0.238284573825024*(8350/2783.333)</f>
        <v>0.7148538070863063</v>
      </c>
      <c r="AN4" s="2">
        <f>0.253102314643021*(8350/2783.333)</f>
        <v>0.75930703486403628</v>
      </c>
      <c r="AO4" s="2">
        <f>0.128346189946685*(8350/2783.333)</f>
        <v>0.38503861595246436</v>
      </c>
      <c r="AP4" s="2">
        <f>0.121274250867547*(8350/2783.333)</f>
        <v>0.36382279617423369</v>
      </c>
      <c r="AQ4" s="2">
        <f>0.121117118512813*(8350/2783.333)</f>
        <v>0.36335139905357811</v>
      </c>
      <c r="AR4" s="2">
        <f>0.165463499929026*(8350/2783.333)</f>
        <v>0.49639055923504771</v>
      </c>
      <c r="AS4" s="2">
        <f>0.21287708847413*(8350/2783.333)</f>
        <v>0.63863134190518667</v>
      </c>
      <c r="AT4" s="2">
        <f>0.189690474251582*(8350/2783.333)</f>
        <v>0.56907149090701981</v>
      </c>
      <c r="AU4" s="2">
        <f>0.179795798475162*(8350/2783.333)</f>
        <v>0.53938746002278626</v>
      </c>
      <c r="AV4" s="2">
        <f>0.117101019773221*(8350/2783.333)</f>
        <v>0.35130310139189103</v>
      </c>
      <c r="AW4" s="2">
        <f>0.100720955690731*(8350/2783.333)</f>
        <v>0.30216290325936612</v>
      </c>
    </row>
    <row r="5" spans="1:49" x14ac:dyDescent="0.25">
      <c r="A5" s="5">
        <v>45627</v>
      </c>
      <c r="B5" s="2">
        <f>0.256360989251125*(8350/2783.333)</f>
        <v>0.76908305985913183</v>
      </c>
      <c r="C5" s="2">
        <f>0.250380778607638*(8350/2783.333)</f>
        <v>0.75114242578009083</v>
      </c>
      <c r="D5" s="2">
        <f>0.180740188654287*(8350/2783.333)</f>
        <v>0.54222063089946226</v>
      </c>
      <c r="E5" s="2">
        <f>0.22006110734197*(8350/2783.333)</f>
        <v>0.66018340108978979</v>
      </c>
      <c r="F5" s="2">
        <f>0.185914453889214*(8350/2783.333)</f>
        <v>0.55774342846326241</v>
      </c>
      <c r="G5" s="2">
        <f>0.232636303585739*(8350/2783.333)</f>
        <v>0.69790899433913345</v>
      </c>
      <c r="H5" s="2">
        <f>0.215828985211206*(8350/2783.333)</f>
        <v>0.64748703317697431</v>
      </c>
      <c r="I5" s="2">
        <f>0.193384664726469*(8350/2783.333)</f>
        <v>0.5801540636589344</v>
      </c>
      <c r="J5" s="2">
        <f>0.187757170187791*(8350/2783.333)</f>
        <v>0.56327157802104699</v>
      </c>
      <c r="K5" s="2">
        <f>0.248795524733113*(8350/2783.333)</f>
        <v>0.74638666358696282</v>
      </c>
      <c r="L5" s="2">
        <f>0.247552023591212*(8350/2783.333)</f>
        <v>0.74265615971449217</v>
      </c>
      <c r="M5" s="2">
        <f>0.265653249753731*(8350/2783.333)</f>
        <v>0.79695984470548542</v>
      </c>
      <c r="N5" s="2">
        <f>0.34553468738344*(8350/2783.333)</f>
        <v>1.0366041862945348</v>
      </c>
      <c r="O5" s="2">
        <f>0.341406934246033*(8350/2783.333)</f>
        <v>1.0242209253992867</v>
      </c>
      <c r="P5" s="2">
        <f>0.259071840199101*(8350/2783.333)</f>
        <v>0.77721561367701719</v>
      </c>
      <c r="Q5" s="2">
        <f>0.482036767438258*(8350/2783.333)</f>
        <v>1.4461104755016578</v>
      </c>
      <c r="R5" s="2">
        <f>0.345385544740776*(8350/2783.333)</f>
        <v>1.0361567583129574</v>
      </c>
      <c r="S5" s="2">
        <f>0.0787357201767666*(8350/2783.333)</f>
        <v>0.23620718881858579</v>
      </c>
      <c r="T5" s="2">
        <f t="shared" si="0"/>
        <v>0.10069243236843764</v>
      </c>
      <c r="U5" s="2">
        <f t="shared" si="1"/>
        <v>0.11437794326585224</v>
      </c>
      <c r="V5" s="2">
        <f t="shared" si="2"/>
        <v>0.11043877033537902</v>
      </c>
      <c r="W5" s="2">
        <f t="shared" si="3"/>
        <v>0.10705744606724045</v>
      </c>
      <c r="X5" s="2">
        <f t="shared" si="4"/>
        <v>0.11728533803050227</v>
      </c>
      <c r="Y5" s="2">
        <f t="shared" si="5"/>
        <v>0.10928020503416074</v>
      </c>
      <c r="Z5" s="2">
        <f t="shared" si="6"/>
        <v>0.10579568013572224</v>
      </c>
      <c r="AA5" s="2">
        <f t="shared" si="7"/>
        <v>0.11798772791544039</v>
      </c>
      <c r="AB5" s="2">
        <f t="shared" si="8"/>
        <v>0.10026757173055721</v>
      </c>
      <c r="AC5" s="2">
        <f t="shared" si="9"/>
        <v>0.1151901624778385</v>
      </c>
      <c r="AD5" s="2">
        <f t="shared" si="10"/>
        <v>0.10227444344259566</v>
      </c>
      <c r="AE5" s="2">
        <f t="shared" si="11"/>
        <v>0.10987695088187602</v>
      </c>
      <c r="AF5" s="2">
        <f t="shared" si="12"/>
        <v>0.11908712371493149</v>
      </c>
      <c r="AG5" s="2">
        <f t="shared" si="13"/>
        <v>9.9235315312320327E-2</v>
      </c>
      <c r="AH5" s="2">
        <f t="shared" si="14"/>
        <v>0.1199891551819615</v>
      </c>
      <c r="AI5" s="2">
        <f t="shared" si="15"/>
        <v>0.10099811712417744</v>
      </c>
      <c r="AJ5" s="2">
        <f>0.085958088577213*(8350/2783.333)</f>
        <v>0.25787429661478828</v>
      </c>
      <c r="AK5" s="2">
        <f>0.175368720034875*(8350/2783.333)</f>
        <v>0.52610622311135891</v>
      </c>
      <c r="AL5" s="2">
        <f>0.16211137394543*(8350/2783.333)</f>
        <v>0.48633418007990409</v>
      </c>
      <c r="AM5" s="2">
        <f>0.185405888926267*(8350/2783.333)</f>
        <v>0.55621773339170288</v>
      </c>
      <c r="AN5" s="2">
        <f>0.183848552476893*(8350/2783.333)</f>
        <v>0.5515457234840605</v>
      </c>
      <c r="AO5" s="2">
        <f>0.129241628481197*(8350/2783.333)</f>
        <v>0.38772493187771434</v>
      </c>
      <c r="AP5" s="2">
        <f>0.166918680452311*(8350/2783.333)</f>
        <v>0.50075610132772264</v>
      </c>
      <c r="AQ5" s="2">
        <f>0.154996032782132*(8350/2783.333)</f>
        <v>0.46498815403360011</v>
      </c>
      <c r="AR5" s="2">
        <f>0.206298519654846*(8350/2783.333)</f>
        <v>0.61889563308377604</v>
      </c>
      <c r="AS5" s="2">
        <f>0.227669152023692*(8350/2783.333)</f>
        <v>0.68300753786838686</v>
      </c>
      <c r="AT5" s="2">
        <f>0.25543453663264*(8350/2783.333)</f>
        <v>0.76630370167081807</v>
      </c>
      <c r="AU5" s="2">
        <f>0.225408201224857*(8350/2783.333)</f>
        <v>0.6762246846595632</v>
      </c>
      <c r="AV5" s="2">
        <f>0.139715766978102*(8350/2783.333)</f>
        <v>0.41914735113159451</v>
      </c>
      <c r="AW5" s="2">
        <f>0.113621942299266*(8350/2783.333)</f>
        <v>0.34086586772005639</v>
      </c>
    </row>
    <row r="6" spans="1:49" x14ac:dyDescent="0.25">
      <c r="A6" s="5">
        <v>45628</v>
      </c>
      <c r="B6" s="2">
        <f>0.277374185091382*(8350/2783.333)</f>
        <v>0.83212265492955284</v>
      </c>
      <c r="C6" s="2">
        <f>0.250861355917825*(8350/2783.333)</f>
        <v>0.75258415788331523</v>
      </c>
      <c r="D6" s="2">
        <f>0.194432627188702*(8350/2783.333)</f>
        <v>0.58329795142214869</v>
      </c>
      <c r="E6" s="2">
        <f>0.20755237071411*(8350/2783.333)</f>
        <v>0.62265718671205417</v>
      </c>
      <c r="F6" s="2">
        <f>0.205052706495457*(8350/2783.333)</f>
        <v>0.61515819315801024</v>
      </c>
      <c r="G6" s="2">
        <f>0.240217119995865*(8350/2783.333)</f>
        <v>0.72065144629315769</v>
      </c>
      <c r="H6" s="2">
        <f>0.246388841524297*(8350/2783.333)</f>
        <v>0.73916661309583775</v>
      </c>
      <c r="I6" s="2">
        <f>0.233925546247439*(8350/2783.333)</f>
        <v>0.70177672278743319</v>
      </c>
      <c r="J6" s="2">
        <f>0.184192160627263*(8350/2783.333)</f>
        <v>0.55257654805862166</v>
      </c>
      <c r="K6" s="2">
        <f>0.266080266451413*(8350/2783.333)</f>
        <v>0.7982408949519515</v>
      </c>
      <c r="L6" s="2">
        <f>0.263778122616518*(8350/2783.333)</f>
        <v>0.79133446262014773</v>
      </c>
      <c r="M6" s="2">
        <f>0.319841226071656*(8350/2783.333)</f>
        <v>0.95952379312799807</v>
      </c>
      <c r="N6" s="2">
        <f>0.652457744933839*(8350/2783.333)</f>
        <v>1.9573734692175024</v>
      </c>
      <c r="O6" s="2">
        <f>0.534082134761121*(8350/2783.333)</f>
        <v>1.6022465961691819</v>
      </c>
      <c r="P6" s="2">
        <f>0.506935913600903*(8350/2783.333)</f>
        <v>1.5208079229353948</v>
      </c>
      <c r="Q6" s="2">
        <f>0.637684647335152*(8350/2783.333)</f>
        <v>1.9130541711137392</v>
      </c>
      <c r="R6" s="2">
        <f>0.572416991175984*(8350/2783.333)</f>
        <v>1.7172511791867768</v>
      </c>
      <c r="S6" s="2">
        <f>0.141755112647016*(8350/2783.333)</f>
        <v>0.42526538887103471</v>
      </c>
      <c r="T6" s="2">
        <f t="shared" si="0"/>
        <v>0.10069243236843764</v>
      </c>
      <c r="U6" s="2">
        <f t="shared" si="1"/>
        <v>0.11437794326585224</v>
      </c>
      <c r="V6" s="2">
        <f t="shared" si="2"/>
        <v>0.11043877033537902</v>
      </c>
      <c r="W6" s="2">
        <f t="shared" si="3"/>
        <v>0.10705744606724045</v>
      </c>
      <c r="X6" s="2">
        <f t="shared" si="4"/>
        <v>0.11728533803050227</v>
      </c>
      <c r="Y6" s="2">
        <f t="shared" si="5"/>
        <v>0.10928020503416074</v>
      </c>
      <c r="Z6" s="2">
        <f t="shared" si="6"/>
        <v>0.10579568013572224</v>
      </c>
      <c r="AA6" s="2">
        <f t="shared" si="7"/>
        <v>0.11798772791544039</v>
      </c>
      <c r="AB6" s="2">
        <f t="shared" si="8"/>
        <v>0.10026757173055721</v>
      </c>
      <c r="AC6" s="2">
        <f t="shared" si="9"/>
        <v>0.1151901624778385</v>
      </c>
      <c r="AD6" s="2">
        <f t="shared" si="10"/>
        <v>0.10227444344259566</v>
      </c>
      <c r="AE6" s="2">
        <f t="shared" si="11"/>
        <v>0.10987695088187602</v>
      </c>
      <c r="AF6" s="2">
        <f t="shared" si="12"/>
        <v>0.11908712371493149</v>
      </c>
      <c r="AG6" s="2">
        <f t="shared" si="13"/>
        <v>9.9235315312320327E-2</v>
      </c>
      <c r="AH6" s="2">
        <f t="shared" si="14"/>
        <v>0.1199891551819615</v>
      </c>
      <c r="AI6" s="2">
        <f t="shared" si="15"/>
        <v>0.10099811712417744</v>
      </c>
      <c r="AJ6" s="2">
        <f>0.129770941485175*(8350/2783.333)</f>
        <v>0.38931287107982154</v>
      </c>
      <c r="AK6" s="2">
        <f>0.232625857687288*(8350/2783.333)</f>
        <v>0.69787765664002532</v>
      </c>
      <c r="AL6" s="2">
        <f>0.230232642784201*(8350/2783.333)</f>
        <v>0.69069801107092821</v>
      </c>
      <c r="AM6" s="2">
        <f>0.233657688896383*(8350/2783.333)</f>
        <v>0.70097315063802834</v>
      </c>
      <c r="AN6" s="2">
        <f>0.253102314643021*(8350/2783.333)</f>
        <v>0.75930703486403628</v>
      </c>
      <c r="AO6" s="2">
        <f>0.293106880296848*(8350/2783.333)</f>
        <v>0.8793207461984186</v>
      </c>
      <c r="AP6" s="2">
        <f>0.111445705810974*(8350/2783.333)</f>
        <v>0.33433715747329984</v>
      </c>
      <c r="AQ6" s="2">
        <f>0.243250604453707*(8350/2783.333)</f>
        <v>0.72975190075655727</v>
      </c>
      <c r="AR6" s="2">
        <f>0.206625199812653*(8350/2783.333)</f>
        <v>0.61987567367456597</v>
      </c>
      <c r="AS6" s="2">
        <f>0.205320273399898*(8350/2783.333)</f>
        <v>0.61596089396746456</v>
      </c>
      <c r="AT6" s="2">
        <f>0.121651107946995*(8350/2783.333)</f>
        <v>0.36495336754797603</v>
      </c>
      <c r="AU6" s="2">
        <f>0.107147680641102*(8350/2783.333)</f>
        <v>0.32144308041948327</v>
      </c>
      <c r="AV6" s="2">
        <f>0.0924726306939325*(8350/2783.333)</f>
        <v>0.27741792530550113</v>
      </c>
      <c r="AW6" s="2">
        <f>0.0797374232551618*(8350/2783.333)</f>
        <v>0.23921229841366479</v>
      </c>
    </row>
    <row r="7" spans="1:49" x14ac:dyDescent="0.25">
      <c r="A7" s="5">
        <v>45629</v>
      </c>
      <c r="B7" s="2">
        <f>0.247021791099901*(8350/2783.333)</f>
        <v>0.74106546205005652</v>
      </c>
      <c r="C7" s="2">
        <f>0.236924613922391*(8350/2783.333)</f>
        <v>0.71077392688979768</v>
      </c>
      <c r="D7" s="2">
        <f>0.192867777070483*(8350/2783.333)</f>
        <v>0.57860340050527059</v>
      </c>
      <c r="E7" s="2">
        <f>0.220987680425515*(8350/2783.333)</f>
        <v>0.66296312067332563</v>
      </c>
      <c r="F7" s="2">
        <f>0.189039066559621*(8350/2783.333)</f>
        <v>0.56711726759709924</v>
      </c>
      <c r="G7" s="2">
        <f>0.226003089226879*(8350/2783.333)</f>
        <v>0.67800934887936171</v>
      </c>
      <c r="H7" s="2">
        <f>0.209144016642717*(8350/2783.333)</f>
        <v>0.6274321250697229</v>
      </c>
      <c r="I7" s="2">
        <f>0.20969421476364*(8350/2783.333)</f>
        <v>0.62908271963016904</v>
      </c>
      <c r="J7" s="2">
        <f>0.17151657107872*(8350/2783.333)</f>
        <v>0.51454977485888842</v>
      </c>
      <c r="K7" s="2">
        <f>0.25403332525381*(8350/2783.333)</f>
        <v>0.76210006703089883</v>
      </c>
      <c r="L7" s="2">
        <f>0.258785476762578*(8350/2783.333)</f>
        <v>0.77635652326456173</v>
      </c>
      <c r="M7" s="2">
        <f>0.343190516680193*(8350/2783.333)</f>
        <v>1.0295716733425764</v>
      </c>
      <c r="N7" s="2">
        <f>0.638273880913539*(8350/2783.333)</f>
        <v>1.9148218720606009</v>
      </c>
      <c r="O7" s="2">
        <f>0.598307201599483*(8350/2783.333)</f>
        <v>1.7949218197591463</v>
      </c>
      <c r="P7" s="2">
        <f>0.73669513294553*(8350/2783.333)</f>
        <v>2.2100856635175079</v>
      </c>
      <c r="Q7" s="2">
        <f>0.884362953959622*(8350/2783.333)</f>
        <v>2.6530891796140983</v>
      </c>
      <c r="R7" s="2">
        <f>0.541525827152833*(8350/2783.333)</f>
        <v>1.6245776760186998</v>
      </c>
      <c r="S7" s="2">
        <f>0.158395930218622*(8350/2783.333)</f>
        <v>0.47518784756459143</v>
      </c>
      <c r="T7" s="2">
        <f t="shared" si="0"/>
        <v>0.10069243236843764</v>
      </c>
      <c r="U7" s="2">
        <f t="shared" si="1"/>
        <v>0.11437794326585224</v>
      </c>
      <c r="V7" s="2">
        <f t="shared" si="2"/>
        <v>0.11043877033537902</v>
      </c>
      <c r="W7" s="2">
        <f t="shared" si="3"/>
        <v>0.10705744606724045</v>
      </c>
      <c r="X7" s="2">
        <f t="shared" si="4"/>
        <v>0.11728533803050227</v>
      </c>
      <c r="Y7" s="2">
        <f t="shared" si="5"/>
        <v>0.10928020503416074</v>
      </c>
      <c r="Z7" s="2">
        <f t="shared" si="6"/>
        <v>0.10579568013572224</v>
      </c>
      <c r="AA7" s="2">
        <f t="shared" si="7"/>
        <v>0.11798772791544039</v>
      </c>
      <c r="AB7" s="2">
        <f t="shared" si="8"/>
        <v>0.10026757173055721</v>
      </c>
      <c r="AC7" s="2">
        <f t="shared" si="9"/>
        <v>0.1151901624778385</v>
      </c>
      <c r="AD7" s="2">
        <f t="shared" si="10"/>
        <v>0.10227444344259566</v>
      </c>
      <c r="AE7" s="2">
        <f t="shared" si="11"/>
        <v>0.10987695088187602</v>
      </c>
      <c r="AF7" s="2">
        <f t="shared" si="12"/>
        <v>0.11908712371493149</v>
      </c>
      <c r="AG7" s="2">
        <f t="shared" si="13"/>
        <v>9.9235315312320327E-2</v>
      </c>
      <c r="AH7" s="2">
        <f t="shared" si="14"/>
        <v>0.1199891551819615</v>
      </c>
      <c r="AI7" s="2">
        <f t="shared" si="15"/>
        <v>0.10099811712417744</v>
      </c>
      <c r="AJ7" s="2">
        <f>0.105514690740283*(8350/2783.333)</f>
        <v>0.31654411013032202</v>
      </c>
      <c r="AK7" s="2">
        <f>0.283587707953832*(8350/2783.333)</f>
        <v>0.85076322574930885</v>
      </c>
      <c r="AL7" s="2">
        <f>0.331983398771226*(8350/2783.333)</f>
        <v>0.99595031558916547</v>
      </c>
      <c r="AM7" s="2">
        <f>0.28290096420835*(8350/2783.333)</f>
        <v>0.84870299426612739</v>
      </c>
      <c r="AN7" s="2">
        <f>0.295337792914739*(8350/2783.333)</f>
        <v>0.88601348485361786</v>
      </c>
      <c r="AO7" s="2">
        <f>0.132823382619244*(8350/2783.333)</f>
        <v>0.39847019557871294</v>
      </c>
      <c r="AP7" s="2">
        <f>0.140931340980693*(8350/2783.333)</f>
        <v>0.42279407357610099</v>
      </c>
      <c r="AQ7" s="2">
        <f>0.129078663366103*(8350/2783.333)</f>
        <v>0.38723603647388311</v>
      </c>
      <c r="AR7" s="2">
        <f>0.231452891805952*(8350/2783.333)</f>
        <v>0.69435875857459262</v>
      </c>
      <c r="AS7" s="2">
        <f>0.20917907258674*(8350/2783.333)</f>
        <v>0.6275372929143862</v>
      </c>
      <c r="AT7" s="2">
        <f>0.198051938544435*(8350/2783.333)</f>
        <v>0.59415588678969711</v>
      </c>
      <c r="AU7" s="2">
        <f>0.128709907395503*(8350/2783.333)</f>
        <v>0.38612976842959595</v>
      </c>
      <c r="AV7" s="2">
        <f>0.0946411680971403*(8350/2783.333)</f>
        <v>0.28392353829423983</v>
      </c>
      <c r="AW7" s="2">
        <f>0.0816026261383235*(8350/2783.333)</f>
        <v>0.24480790773328273</v>
      </c>
    </row>
    <row r="8" spans="1:49" x14ac:dyDescent="0.25">
      <c r="A8" s="5">
        <v>45630</v>
      </c>
      <c r="B8" s="2">
        <f>0.240484352394043*(8350/2783.333)</f>
        <v>0.72145314358370338</v>
      </c>
      <c r="C8" s="2">
        <f>0.244613850885389*(8350/2783.333)</f>
        <v>0.73384164054139345</v>
      </c>
      <c r="D8" s="2">
        <f>0.203039302838906*(8350/2783.333)</f>
        <v>0.60911798146498042</v>
      </c>
      <c r="E8" s="2">
        <f>0.238592569012872*(8350/2783.333)</f>
        <v>0.71577779276050824</v>
      </c>
      <c r="F8" s="2">
        <f>0.209349048917266*(8350/2783.333)</f>
        <v>0.62804722196703566</v>
      </c>
      <c r="G8" s="2">
        <f>0.249693140508523*(8350/2783.333)</f>
        <v>0.74907951123568883</v>
      </c>
      <c r="H8" s="2">
        <f>0.246866339279189*(8350/2783.333)</f>
        <v>0.74059910653207051</v>
      </c>
      <c r="I8" s="2">
        <f>0.244177263413661*(8350/2783.333)</f>
        <v>0.73253187796935282</v>
      </c>
      <c r="J8" s="2">
        <f>0.202809432776685*(8350/2783.333)</f>
        <v>0.60842837119572935</v>
      </c>
      <c r="K8" s="2">
        <f>0.27184184702418*(8350/2783.333)</f>
        <v>0.81552563874028172</v>
      </c>
      <c r="L8" s="2">
        <f>0.271267091397429*(8350/2783.333)</f>
        <v>0.81380137165352795</v>
      </c>
      <c r="M8" s="2">
        <f>0.479321286454493*(8350/2783.333)</f>
        <v>1.4379640315747411</v>
      </c>
      <c r="N8" s="2">
        <f>0.483433365358588*(8350/2783.333)</f>
        <v>1.4503002697644183</v>
      </c>
      <c r="O8" s="2">
        <f>0.380843378795905*(8350/2783.333)</f>
        <v>1.142530273217687</v>
      </c>
      <c r="P8" s="2">
        <f>0.523747563796852*(8350/2783.333)</f>
        <v>1.5712428795633544</v>
      </c>
      <c r="Q8" s="2">
        <f>0.981053303592541*(8350/2783.333)</f>
        <v>2.9431602632519058</v>
      </c>
      <c r="R8" s="2">
        <f>0.480115681805604*(8350/2783.333)</f>
        <v>1.4403472179134862</v>
      </c>
      <c r="S8" s="2">
        <f>0.175961237655318*(8350/2783.333)</f>
        <v>0.52788377618556726</v>
      </c>
      <c r="T8" s="2">
        <f t="shared" si="0"/>
        <v>0.10069243236843764</v>
      </c>
      <c r="U8" s="2">
        <f t="shared" si="1"/>
        <v>0.11437794326585224</v>
      </c>
      <c r="V8" s="2">
        <f t="shared" si="2"/>
        <v>0.11043877033537902</v>
      </c>
      <c r="W8" s="2">
        <f t="shared" si="3"/>
        <v>0.10705744606724045</v>
      </c>
      <c r="X8" s="2">
        <f t="shared" si="4"/>
        <v>0.11728533803050227</v>
      </c>
      <c r="Y8" s="2">
        <f t="shared" si="5"/>
        <v>0.10928020503416074</v>
      </c>
      <c r="Z8" s="2">
        <f t="shared" si="6"/>
        <v>0.10579568013572224</v>
      </c>
      <c r="AA8" s="2">
        <f t="shared" si="7"/>
        <v>0.11798772791544039</v>
      </c>
      <c r="AB8" s="2">
        <f t="shared" si="8"/>
        <v>0.10026757173055721</v>
      </c>
      <c r="AC8" s="2">
        <f t="shared" si="9"/>
        <v>0.1151901624778385</v>
      </c>
      <c r="AD8" s="2">
        <f t="shared" si="10"/>
        <v>0.10227444344259566</v>
      </c>
      <c r="AE8" s="2">
        <f t="shared" si="11"/>
        <v>0.10987695088187602</v>
      </c>
      <c r="AF8" s="2">
        <f t="shared" si="12"/>
        <v>0.11908712371493149</v>
      </c>
      <c r="AG8" s="2">
        <f t="shared" si="13"/>
        <v>9.9235315312320327E-2</v>
      </c>
      <c r="AH8" s="2">
        <f t="shared" si="14"/>
        <v>0.1199891551819615</v>
      </c>
      <c r="AI8" s="2">
        <f t="shared" si="15"/>
        <v>0.10099811712417744</v>
      </c>
      <c r="AJ8" s="2">
        <f>0.136744613574332*(8350/2783.333)</f>
        <v>0.41023388985280251</v>
      </c>
      <c r="AK8" s="2">
        <f>0.401999065926099*(8350/2783.333)</f>
        <v>1.2059973422091157</v>
      </c>
      <c r="AL8" s="2">
        <f>0.213849046481206*(8350/2783.333)</f>
        <v>0.6415472162756185</v>
      </c>
      <c r="AM8" s="2">
        <f>0.41542816823586*(8350/2783.333)</f>
        <v>1.2462846539632271</v>
      </c>
      <c r="AN8" s="2">
        <f>0.332604391389785*(8350/2783.333)</f>
        <v>0.99781329366795446</v>
      </c>
      <c r="AO8" s="2">
        <f>0.156552503783806*(8350/2783.333)</f>
        <v>0.46965756759783178</v>
      </c>
      <c r="AP8" s="2">
        <f>0.211230425961607*(8350/2783.333)</f>
        <v>0.6336913537760005</v>
      </c>
      <c r="AQ8" s="2">
        <f>0.207508349899576*(8350/2783.333)</f>
        <v>0.62252512425263384</v>
      </c>
      <c r="AR8" s="2">
        <f>0.253503802457895*(8350/2783.333)</f>
        <v>0.760511498452906</v>
      </c>
      <c r="AS8" s="2">
        <f>0.148242202094523*(8350/2783.333)</f>
        <v>0.44472665954424595</v>
      </c>
      <c r="AT8" s="2">
        <f>0.218053872735181*(8350/2783.333)</f>
        <v>0.65416169654825962</v>
      </c>
      <c r="AU8" s="2">
        <f>0.126719548002789*(8350/2783.333)</f>
        <v>0.38015868953635468</v>
      </c>
      <c r="AV8" s="2">
        <f>0.115861855542817*(8350/2783.333)</f>
        <v>0.34758560825546875</v>
      </c>
      <c r="AW8" s="2">
        <f>0.0955916477620361*(8350/2783.333)</f>
        <v>0.28677497763041698</v>
      </c>
    </row>
    <row r="9" spans="1:49" x14ac:dyDescent="0.25">
      <c r="A9" s="5">
        <v>45631</v>
      </c>
      <c r="B9" s="2">
        <f>0.233479953780624*(8350/2783.333)</f>
        <v>0.70043994522689601</v>
      </c>
      <c r="C9" s="2">
        <f>0.235963459302016*(8350/2783.333)</f>
        <v>0.70789046268334765</v>
      </c>
      <c r="D9" s="2">
        <f>0.167047750119871*(8350/2783.333)</f>
        <v>0.50114331037677562</v>
      </c>
      <c r="E9" s="2">
        <f>0.313181702238256*(8350/2783.333)</f>
        <v>0.93954521923515333</v>
      </c>
      <c r="F9" s="2">
        <f>0.307774348035086*(8350/2783.333)</f>
        <v>0.9233231546828804</v>
      </c>
      <c r="G9" s="2">
        <f>0.383305029736992*(8350/2783.333)</f>
        <v>1.1499152269253743</v>
      </c>
      <c r="H9" s="2">
        <f>0.354780831884791*(8350/2783.333)</f>
        <v>1.0643426231205568</v>
      </c>
      <c r="I9" s="2">
        <f>0.295435849244774*(8350/2783.333)</f>
        <v>0.88630765387895005</v>
      </c>
      <c r="J9" s="2">
        <f>0.190926067574927*(8350/2783.333)</f>
        <v>0.57277827132098025</v>
      </c>
      <c r="K9" s="2">
        <f>0.255080885357949*(8350/2783.333)</f>
        <v>0.76524274771968637</v>
      </c>
      <c r="L9" s="2">
        <f>0.251296507981667*(8350/2783.333)</f>
        <v>0.75388961423118206</v>
      </c>
      <c r="M9" s="2">
        <f>0.450685364010061*(8350/2783.333)</f>
        <v>1.3520562539530887</v>
      </c>
      <c r="N9" s="2">
        <f>0.447973705307835*(8350/2783.333)</f>
        <v>1.3439212768721622</v>
      </c>
      <c r="O9" s="2">
        <f>0.475115260529408*(8350/2783.333)</f>
        <v>1.4253459522883365</v>
      </c>
      <c r="P9" s="2">
        <f>0.600477659562975*(8350/2783.333)</f>
        <v>1.8014331944294262</v>
      </c>
      <c r="Q9" s="2">
        <f>0.632968044914034*(8350/2783.333)</f>
        <v>1.8989043621557971</v>
      </c>
      <c r="R9" s="2">
        <f>0.491653345476902*(8350/2783.333)</f>
        <v>1.4749602130726476</v>
      </c>
      <c r="S9" s="2">
        <f>0.208010219645078*(8350/2783.333)</f>
        <v>0.62403073366945361</v>
      </c>
      <c r="T9" s="2">
        <f t="shared" si="0"/>
        <v>0.10069243236843764</v>
      </c>
      <c r="U9" s="2">
        <f t="shared" si="1"/>
        <v>0.11437794326585224</v>
      </c>
      <c r="V9" s="2">
        <f t="shared" si="2"/>
        <v>0.11043877033537902</v>
      </c>
      <c r="W9" s="2">
        <f t="shared" si="3"/>
        <v>0.10705744606724045</v>
      </c>
      <c r="X9" s="2">
        <f t="shared" si="4"/>
        <v>0.11728533803050227</v>
      </c>
      <c r="Y9" s="2">
        <f t="shared" si="5"/>
        <v>0.10928020503416074</v>
      </c>
      <c r="Z9" s="2">
        <f t="shared" si="6"/>
        <v>0.10579568013572224</v>
      </c>
      <c r="AA9" s="2">
        <f t="shared" si="7"/>
        <v>0.11798772791544039</v>
      </c>
      <c r="AB9" s="2">
        <f t="shared" si="8"/>
        <v>0.10026757173055721</v>
      </c>
      <c r="AC9" s="2">
        <f t="shared" si="9"/>
        <v>0.1151901624778385</v>
      </c>
      <c r="AD9" s="2">
        <f t="shared" si="10"/>
        <v>0.10227444344259566</v>
      </c>
      <c r="AE9" s="2">
        <f t="shared" si="11"/>
        <v>0.10987695088187602</v>
      </c>
      <c r="AF9" s="2">
        <f t="shared" si="12"/>
        <v>0.11908712371493149</v>
      </c>
      <c r="AG9" s="2">
        <f t="shared" si="13"/>
        <v>9.9235315312320327E-2</v>
      </c>
      <c r="AH9" s="2">
        <f t="shared" si="14"/>
        <v>0.1199891551819615</v>
      </c>
      <c r="AI9" s="2">
        <f t="shared" si="15"/>
        <v>0.10099811712417744</v>
      </c>
      <c r="AJ9" s="2">
        <f>0.282585321177998*(8350/2783.333)</f>
        <v>0.84775606506166734</v>
      </c>
      <c r="AK9" s="2">
        <f>0.497027927893715*(8350/2783.333)</f>
        <v>1.4910839622540746</v>
      </c>
      <c r="AL9" s="2">
        <f>0.449255456518984*(8350/2783.333)</f>
        <v>1.347766530966118</v>
      </c>
      <c r="AM9" s="2">
        <f>0.508296358589302*(8350/2783.333)</f>
        <v>1.5248892583893743</v>
      </c>
      <c r="AN9" s="2">
        <f>0.404032038466957*(8350/2783.333)</f>
        <v>1.2120962605621004</v>
      </c>
      <c r="AO9" s="2">
        <f>0.158940339875837*(8350/2783.333)</f>
        <v>0.476821076731831</v>
      </c>
      <c r="AP9" s="2">
        <f>0.145429149735397*(8350/2783.333)</f>
        <v>0.43628750145618966</v>
      </c>
      <c r="AQ9" s="2">
        <f>0.137548391933433*(8350/2783.333)</f>
        <v>0.4126452252188888</v>
      </c>
      <c r="AR9" s="2">
        <f>0.243540057644795*(8350/2783.333)</f>
        <v>0.73062026043381645</v>
      </c>
      <c r="AS9" s="2">
        <f>0.16351661554244*(8350/2783.333)</f>
        <v>0.49054990537581139</v>
      </c>
      <c r="AT9" s="2">
        <f>0.228874591231813*(8350/2783.333)</f>
        <v>0.68662385592584207</v>
      </c>
      <c r="AU9" s="2">
        <f>0.137334798097264*(8350/2783.333)</f>
        <v>0.41200444363364092</v>
      </c>
      <c r="AV9" s="2">
        <f>0.110750303092398*(8350/2783.333)</f>
        <v>0.3322509490677274</v>
      </c>
      <c r="AW9" s="2">
        <f>0.0808254582703394*(8350/2783.333)</f>
        <v>0.24247640385010857</v>
      </c>
    </row>
    <row r="10" spans="1:49" x14ac:dyDescent="0.25">
      <c r="A10" s="5">
        <v>45632</v>
      </c>
      <c r="B10" s="2">
        <f>0.240484352394043*(8350/2783.333)</f>
        <v>0.72145314358370338</v>
      </c>
      <c r="C10" s="2">
        <f>0.238366345852953*(8350/2783.333)</f>
        <v>0.71509912319947166</v>
      </c>
      <c r="D10" s="2">
        <f>0.195997477306921*(8350/2783.333)</f>
        <v>0.58799250233902733</v>
      </c>
      <c r="E10" s="2">
        <f>0.226547118926786*(8350/2783.333)</f>
        <v>0.67964143817454159</v>
      </c>
      <c r="F10" s="2">
        <f>0.196460021651838*(8350/2783.333)</f>
        <v>0.58938013553996071</v>
      </c>
      <c r="G10" s="2">
        <f>0.218896073842386*(8350/2783.333)</f>
        <v>0.65668830017246338</v>
      </c>
      <c r="H10" s="2">
        <f>0.21917146949545*(8350/2783.333)</f>
        <v>0.65751448723059991</v>
      </c>
      <c r="I10" s="2">
        <f>0.235789494823116*(8350/2783.333)</f>
        <v>0.70736856918414637</v>
      </c>
      <c r="J10" s="2">
        <f>0.200036647562942*(8350/2783.333)</f>
        <v>0.60011001455828816</v>
      </c>
      <c r="K10" s="2">
        <f>0.263985146243134*(8350/2783.333)</f>
        <v>0.79195553357437698</v>
      </c>
      <c r="L10" s="2">
        <f>0.311208258228952*(8350/2783.333)</f>
        <v>0.93362488649821873</v>
      </c>
      <c r="M10" s="2">
        <f>0.611927635004863*(8350/2783.333)</f>
        <v>1.8357831248688554</v>
      </c>
      <c r="N10" s="2">
        <f>0.362082528740458*(8350/2783.333)</f>
        <v>1.0862477163109208</v>
      </c>
      <c r="O10" s="2">
        <f>0.358683852810738*(8350/2783.333)</f>
        <v>1.0760516873006807</v>
      </c>
      <c r="P10" s="2">
        <f>0.561250475772428*(8350/2783.333)</f>
        <v>1.6837516289641872</v>
      </c>
      <c r="Q10" s="2">
        <f>0.621648199103351*(8350/2783.333)</f>
        <v>1.8649448206567367</v>
      </c>
      <c r="R10" s="2">
        <f>0.404934776592634*(8350/2783.333)</f>
        <v>1.2148044752634679</v>
      </c>
      <c r="S10" s="2">
        <f>0.196454096331463*(8350/2783.333)</f>
        <v>0.58936235957670668</v>
      </c>
      <c r="T10" s="2">
        <f t="shared" si="0"/>
        <v>0.10069243236843764</v>
      </c>
      <c r="U10" s="2">
        <f t="shared" si="1"/>
        <v>0.11437794326585224</v>
      </c>
      <c r="V10" s="2">
        <f t="shared" si="2"/>
        <v>0.11043877033537902</v>
      </c>
      <c r="W10" s="2">
        <f t="shared" si="3"/>
        <v>0.10705744606724045</v>
      </c>
      <c r="X10" s="2">
        <f t="shared" si="4"/>
        <v>0.11728533803050227</v>
      </c>
      <c r="Y10" s="2">
        <f t="shared" si="5"/>
        <v>0.10928020503416074</v>
      </c>
      <c r="Z10" s="2">
        <f t="shared" si="6"/>
        <v>0.10579568013572224</v>
      </c>
      <c r="AA10" s="2">
        <f t="shared" si="7"/>
        <v>0.11798772791544039</v>
      </c>
      <c r="AB10" s="2">
        <f t="shared" si="8"/>
        <v>0.10026757173055721</v>
      </c>
      <c r="AC10" s="2">
        <f t="shared" si="9"/>
        <v>0.1151901624778385</v>
      </c>
      <c r="AD10" s="2">
        <f t="shared" si="10"/>
        <v>0.10227444344259566</v>
      </c>
      <c r="AE10" s="2">
        <f t="shared" si="11"/>
        <v>0.10987695088187602</v>
      </c>
      <c r="AF10" s="2">
        <f t="shared" si="12"/>
        <v>0.11908712371493149</v>
      </c>
      <c r="AG10" s="2">
        <f t="shared" si="13"/>
        <v>9.9235315312320327E-2</v>
      </c>
      <c r="AH10" s="2">
        <f t="shared" si="14"/>
        <v>0.1199891551819615</v>
      </c>
      <c r="AI10" s="2">
        <f t="shared" si="15"/>
        <v>0.10099811712417744</v>
      </c>
      <c r="AJ10" s="2">
        <f>0.217245045733944*(8350/2783.333)</f>
        <v>0.6517352152539535</v>
      </c>
      <c r="AK10" s="2">
        <f>0.567475191497468*(8350/2783.333)</f>
        <v>1.7024257783757315</v>
      </c>
      <c r="AL10" s="2">
        <f>0.325085042433123*(8350/2783.333)</f>
        <v>0.97525524409640418</v>
      </c>
      <c r="AM10" s="2">
        <f>0.493424228461527*(8350/2783.333)</f>
        <v>1.4802728626627673</v>
      </c>
      <c r="AN10" s="2">
        <f>0.59533391063886*(8350/2783.333)</f>
        <v>1.7860019458090286</v>
      </c>
      <c r="AO10" s="2">
        <f>0.195205600523563*(8350/2783.333)</f>
        <v>0.58561687170444576</v>
      </c>
      <c r="AP10" s="2">
        <f>0.229055075470985*(8350/2783.333)</f>
        <v>0.68716530870820269</v>
      </c>
      <c r="AQ10" s="2">
        <f>0.166853652776393*(8350/2783.333)</f>
        <v>0.50056101827660782</v>
      </c>
      <c r="AR10" s="2">
        <f>0.190454532001228*(8350/2783.333)</f>
        <v>0.57136366443046926</v>
      </c>
      <c r="AS10" s="2">
        <f>0.232331867707793*(8350/2783.333)</f>
        <v>0.69699568659591715</v>
      </c>
      <c r="AT10" s="2">
        <f>0.172311744544868*(8350/2783.333)</f>
        <v>0.51693529554302298</v>
      </c>
      <c r="AU10" s="2">
        <f>0.187591372763291*(8350/2783.333)</f>
        <v>0.56277418568798054</v>
      </c>
      <c r="AV10" s="2">
        <f>0.115242273427614*(8350/2783.333)</f>
        <v>0.34572686168725747</v>
      </c>
      <c r="AW10" s="2">
        <f>0.0750744160472576*(8350/2783.333)</f>
        <v>0.22522327511462004</v>
      </c>
    </row>
    <row r="11" spans="1:49" x14ac:dyDescent="0.25">
      <c r="A11" s="5">
        <v>45633</v>
      </c>
      <c r="B11" s="2">
        <f>0.236748673133553*(8350/2783.333)</f>
        <v>0.7102461044600733</v>
      </c>
      <c r="C11" s="2">
        <f>0.241730387024265*(8350/2783.333)</f>
        <v>0.72519124792204503</v>
      </c>
      <c r="D11" s="2">
        <f>0.194432627188702*(8350/2783.333)</f>
        <v>0.58329795142214869</v>
      </c>
      <c r="E11" s="2">
        <f>0.227936978552103*(8350/2783.333)</f>
        <v>0.68381101754984486</v>
      </c>
      <c r="F11" s="2">
        <f>0.178493498796998*(8350/2783.333)</f>
        <v>0.53548056052040149</v>
      </c>
      <c r="G11" s="2">
        <f>0.243059926149662*(8350/2783.333)</f>
        <v>0.72917986577591687</v>
      </c>
      <c r="H11" s="2">
        <f>0.220126465005234*(8350/2783.333)</f>
        <v>0.66037947410306452</v>
      </c>
      <c r="I11" s="2">
        <f>0.234857520535277*(8350/2783.333)</f>
        <v>0.70457264598578973</v>
      </c>
      <c r="J11" s="2">
        <f>0.183796048453871*(8350/2783.333)</f>
        <v>0.55138821139612992</v>
      </c>
      <c r="K11" s="2">
        <f>0.234653463327231*(8350/2783.333)</f>
        <v>0.70396047428833541</v>
      </c>
      <c r="L11" s="2">
        <f>0.248384131233535*(8350/2783.333)</f>
        <v>0.74515248294042358</v>
      </c>
      <c r="M11" s="2">
        <f>0.267415460365696*(8350/2783.333)</f>
        <v>0.8022464771745107</v>
      </c>
      <c r="N11" s="2">
        <f>0.276979344618653*(8350/2783.333)</f>
        <v>0.83093813336950761</v>
      </c>
      <c r="O11" s="2">
        <f>0.280937719269563*(8350/2783.333)</f>
        <v>0.8428132587444076</v>
      </c>
      <c r="P11" s="2">
        <f>0.416411643315028*(8350/2783.333)</f>
        <v>1.2492350795540741</v>
      </c>
      <c r="Q11" s="2">
        <f>0.524014528986208*(8350/2783.333)</f>
        <v>1.57204377522734</v>
      </c>
      <c r="R11" s="2">
        <f>0.294768697666697*(8350/2783.333)</f>
        <v>0.88430619890502438</v>
      </c>
      <c r="S11" s="2">
        <f>0.16918164531133*(8350/2783.333)</f>
        <v>0.50754499671782216</v>
      </c>
      <c r="T11" s="2">
        <f t="shared" si="0"/>
        <v>0.10069243236843764</v>
      </c>
      <c r="U11" s="2">
        <f t="shared" si="1"/>
        <v>0.11437794326585224</v>
      </c>
      <c r="V11" s="2">
        <f t="shared" si="2"/>
        <v>0.11043877033537902</v>
      </c>
      <c r="W11" s="2">
        <f t="shared" si="3"/>
        <v>0.10705744606724045</v>
      </c>
      <c r="X11" s="2">
        <f t="shared" si="4"/>
        <v>0.11728533803050227</v>
      </c>
      <c r="Y11" s="2">
        <f t="shared" si="5"/>
        <v>0.10928020503416074</v>
      </c>
      <c r="Z11" s="2">
        <f t="shared" si="6"/>
        <v>0.10579568013572224</v>
      </c>
      <c r="AA11" s="2">
        <f t="shared" si="7"/>
        <v>0.11798772791544039</v>
      </c>
      <c r="AB11" s="2">
        <f t="shared" si="8"/>
        <v>0.10026757173055721</v>
      </c>
      <c r="AC11" s="2">
        <f t="shared" si="9"/>
        <v>0.1151901624778385</v>
      </c>
      <c r="AD11" s="2">
        <f t="shared" si="10"/>
        <v>0.10227444344259566</v>
      </c>
      <c r="AE11" s="2">
        <f t="shared" si="11"/>
        <v>0.10987695088187602</v>
      </c>
      <c r="AF11" s="2">
        <f t="shared" si="12"/>
        <v>0.11908712371493149</v>
      </c>
      <c r="AG11" s="2">
        <f t="shared" si="13"/>
        <v>9.9235315312320327E-2</v>
      </c>
      <c r="AH11" s="2">
        <f t="shared" si="14"/>
        <v>0.1199891551819615</v>
      </c>
      <c r="AI11" s="2">
        <f t="shared" si="15"/>
        <v>0.10099811712417744</v>
      </c>
      <c r="AJ11" s="2">
        <f>0.171612974020115*(8350/2783.333)</f>
        <v>0.51483898371770809</v>
      </c>
      <c r="AK11" s="2">
        <f>0.318961227550611*(8350/2783.333)</f>
        <v>0.95688379724869432</v>
      </c>
      <c r="AL11" s="2">
        <f>0.266449013559244*(8350/2783.333)</f>
        <v>0.79934713640792765</v>
      </c>
      <c r="AM11" s="2">
        <f>0.26505440805502*(8350/2783.333)</f>
        <v>0.79516331939419904</v>
      </c>
      <c r="AN11" s="2">
        <f>0.254655089579481*(8350/2783.333)</f>
        <v>0.76396536023130068</v>
      </c>
      <c r="AO11" s="2">
        <f>0.120884202159087*(8350/2783.333)</f>
        <v>0.36265264990871637</v>
      </c>
      <c r="AP11" s="2">
        <f>0.148594274414632*(8350/2783.333)</f>
        <v>0.44578287663106658</v>
      </c>
      <c r="AQ11" s="2">
        <f>0.163635155920808*(8350/2783.333)</f>
        <v>0.49090552655350567</v>
      </c>
      <c r="AR11" s="2">
        <f>0.228512770385693*(8350/2783.333)</f>
        <v>0.68553839325748411</v>
      </c>
      <c r="AS11" s="2">
        <f>0.213198655073034*(8350/2783.333)</f>
        <v>0.63959604181743035</v>
      </c>
      <c r="AT11" s="2">
        <f>0.21477486713014*(8350/2783.333)</f>
        <v>0.64432467855505215</v>
      </c>
      <c r="AU11" s="2">
        <f>0.130202676940039*(8350/2783.333)</f>
        <v>0.39060807759952659</v>
      </c>
      <c r="AV11" s="2">
        <f>0.0994429294899576*(8350/2783.333)</f>
        <v>0.29832882419787565</v>
      </c>
      <c r="AW11" s="2">
        <f>0.0786493882399841*(8350/2783.333)</f>
        <v>0.23594819297722106</v>
      </c>
    </row>
    <row r="12" spans="1:49" x14ac:dyDescent="0.25">
      <c r="A12" s="5">
        <v>45634</v>
      </c>
      <c r="B12" s="2">
        <f>0.236748673133553*(8350/2783.333)</f>
        <v>0.7102461044600733</v>
      </c>
      <c r="C12" s="2">
        <f>0.232118840820516*(8350/2783.333)</f>
        <v>0.69635660585754955</v>
      </c>
      <c r="D12" s="2">
        <f>0.190520501893155*(8350/2783.333)</f>
        <v>0.57156157412995257</v>
      </c>
      <c r="E12" s="2">
        <f>0.226547118926786*(8350/2783.333)</f>
        <v>0.67964143817454159</v>
      </c>
      <c r="F12" s="2">
        <f>0.1796652285484*(8350/2783.333)</f>
        <v>0.53899575019559021</v>
      </c>
      <c r="G12" s="2">
        <f>0.208946252304096*(8350/2783.333)</f>
        <v>0.62683883198280588</v>
      </c>
      <c r="H12" s="2">
        <f>0.225378940309047*(8350/2783.333)</f>
        <v>0.67613690190161901</v>
      </c>
      <c r="I12" s="2">
        <f>0.22180988050554*(8350/2783.333)</f>
        <v>0.66542972120880128</v>
      </c>
      <c r="J12" s="2">
        <f>0.177854365852992*(8350/2783.333)</f>
        <v>0.53356316145875526</v>
      </c>
      <c r="K12" s="2">
        <f>0.254557105305879*(8350/2783.333)</f>
        <v>0.76367140737529204</v>
      </c>
      <c r="L12" s="2">
        <f>0.241311216273786*(8350/2783.333)</f>
        <v>0.72393373552000895</v>
      </c>
      <c r="M12" s="2">
        <f>0.255961091387923*(8350/2783.333)</f>
        <v>0.76788336612584962</v>
      </c>
      <c r="N12" s="2">
        <f>0.180844266258836*(8350/2783.333)</f>
        <v>0.54253286375050336</v>
      </c>
      <c r="O12" s="2">
        <f>0.232862815437338*(8350/2783.333)</f>
        <v>0.69858852997531162</v>
      </c>
      <c r="P12" s="2">
        <f>0.47589902093146*(8350/2783.333)</f>
        <v>1.4276972337760849</v>
      </c>
      <c r="Q12" s="2">
        <f>0.332520470688818*(8350/2783.333)</f>
        <v>0.9975615315349009</v>
      </c>
      <c r="R12" s="2">
        <f>0.400468584203745*(8350/2783.333)</f>
        <v>1.2014058964921799</v>
      </c>
      <c r="S12" s="2">
        <f>0.11309592682925*(8350/2783.333)</f>
        <v>0.33928782112102135</v>
      </c>
      <c r="T12" s="2">
        <f t="shared" si="0"/>
        <v>0.10069243236843764</v>
      </c>
      <c r="U12" s="2">
        <f t="shared" si="1"/>
        <v>0.11437794326585224</v>
      </c>
      <c r="V12" s="2">
        <f t="shared" si="2"/>
        <v>0.11043877033537902</v>
      </c>
      <c r="W12" s="2">
        <f t="shared" si="3"/>
        <v>0.10705744606724045</v>
      </c>
      <c r="X12" s="2">
        <f t="shared" si="4"/>
        <v>0.11728533803050227</v>
      </c>
      <c r="Y12" s="2">
        <f t="shared" si="5"/>
        <v>0.10928020503416074</v>
      </c>
      <c r="Z12" s="2">
        <f t="shared" si="6"/>
        <v>0.10579568013572224</v>
      </c>
      <c r="AA12" s="2">
        <f t="shared" si="7"/>
        <v>0.11798772791544039</v>
      </c>
      <c r="AB12" s="2">
        <f t="shared" si="8"/>
        <v>0.10026757173055721</v>
      </c>
      <c r="AC12" s="2">
        <f t="shared" si="9"/>
        <v>0.1151901624778385</v>
      </c>
      <c r="AD12" s="2">
        <f t="shared" si="10"/>
        <v>0.10227444344259566</v>
      </c>
      <c r="AE12" s="2">
        <f t="shared" si="11"/>
        <v>0.10987695088187602</v>
      </c>
      <c r="AF12" s="2">
        <f t="shared" si="12"/>
        <v>0.11908712371493149</v>
      </c>
      <c r="AG12" s="2">
        <f t="shared" si="13"/>
        <v>9.9235315312320327E-2</v>
      </c>
      <c r="AH12" s="2">
        <f t="shared" si="14"/>
        <v>0.1199891551819615</v>
      </c>
      <c r="AI12" s="2">
        <f t="shared" si="15"/>
        <v>0.10099811712417744</v>
      </c>
      <c r="AJ12" s="2">
        <f>0.129164535216553*(8350/2783.333)</f>
        <v>0.38749365205608377</v>
      </c>
      <c r="AK12" s="2">
        <f>0.297077609494977*(8350/2783.333)</f>
        <v>0.89123293521941394</v>
      </c>
      <c r="AL12" s="2">
        <f>0.24259219788997*(8350/2783.333)</f>
        <v>0.72777668082879299</v>
      </c>
      <c r="AM12" s="2">
        <f>0.242580966973048*(8350/2783.333)</f>
        <v>0.72774298807399218</v>
      </c>
      <c r="AN12" s="2">
        <f>0.544713447710256*(8350/2783.333)</f>
        <v>1.6341405388362211</v>
      </c>
      <c r="AO12" s="2">
        <f>0.376531903762194*(8350/2783.333)</f>
        <v>1.1295958465675204</v>
      </c>
      <c r="AP12" s="2">
        <f>0.150593300527833*(8350/2783.333)</f>
        <v>0.45177995568888352</v>
      </c>
      <c r="AQ12" s="2">
        <f>0.140936283360365*(8350/2783.333)</f>
        <v>0.42280890071689087</v>
      </c>
      <c r="AR12" s="2">
        <f>0.186534370107549*(8350/2783.333)</f>
        <v>0.5596031773409913</v>
      </c>
      <c r="AS12" s="2">
        <f>0.238120066488057*(8350/2783.333)</f>
        <v>0.71436028501630033</v>
      </c>
      <c r="AT12" s="2">
        <f>0.164442131092771*(8350/2783.333)</f>
        <v>0.49332645235932621</v>
      </c>
      <c r="AU12" s="2">
        <f>0.180127525040614*(8350/2783.333)</f>
        <v>0.54038263983832635</v>
      </c>
      <c r="AV12" s="2">
        <f>0.10285063112357*(8350/2783.333)</f>
        <v>0.30855193032303641</v>
      </c>
      <c r="AW12" s="2">
        <f>0.0775613532248065*(8350/2783.333)</f>
        <v>0.2326840875407773</v>
      </c>
    </row>
    <row r="13" spans="1:49" x14ac:dyDescent="0.25">
      <c r="A13" s="5">
        <v>45635</v>
      </c>
      <c r="B13" s="2">
        <f>0.227409474982328*(8350/2783.333)</f>
        <v>0.6822285066509971</v>
      </c>
      <c r="C13" s="2">
        <f>0.234041150061266*(8350/2783.333)</f>
        <v>0.70212353427044938</v>
      </c>
      <c r="D13" s="2">
        <f>0.187390801656717*(8350/2783.333)</f>
        <v>0.5621724722961956</v>
      </c>
      <c r="E13" s="2">
        <f>0.206625797630565*(8350/2783.333)</f>
        <v>0.61987746712851832</v>
      </c>
      <c r="F13" s="2">
        <f>0.18825791339202*(8350/2783.333)</f>
        <v>0.56477380781364062</v>
      </c>
      <c r="G13" s="2">
        <f>0.224107885124348*(8350/2783.333)</f>
        <v>0.67232373589085548</v>
      </c>
      <c r="H13" s="2">
        <f>0.226333935818831*(8350/2783.333)</f>
        <v>0.67900188877408363</v>
      </c>
      <c r="I13" s="2">
        <f>0.223207841937297*(8350/2783.333)</f>
        <v>0.66962360600633597</v>
      </c>
      <c r="J13" s="2">
        <f>0.188153282361183*(8350/2783.333)</f>
        <v>0.56445991468353851</v>
      </c>
      <c r="K13" s="2">
        <f>0.247224184576904*(8350/2783.333)</f>
        <v>0.74167264255378174</v>
      </c>
      <c r="L13" s="2">
        <f>0.314120634977083*(8350/2783.333)</f>
        <v>0.9423620177889771</v>
      </c>
      <c r="M13" s="2">
        <f>0.520292683182681*(8350/2783.333)</f>
        <v>1.5608782364795672</v>
      </c>
      <c r="N13" s="2">
        <f>0.498011225601675*(8350/2783.333)</f>
        <v>1.494033855731234</v>
      </c>
      <c r="O13" s="2">
        <f>0.402251734408692*(8350/2783.333)</f>
        <v>1.2067553477476749</v>
      </c>
      <c r="P13" s="2">
        <f>0.447448535984471*(8350/2783.333)</f>
        <v>1.3423457687133844</v>
      </c>
      <c r="Q13" s="2">
        <f>0.555615765207699*(8350/2783.333)</f>
        <v>1.6668474952455508</v>
      </c>
      <c r="R13" s="2">
        <f>0.4399199503056*(8350/2783.333)</f>
        <v>1.3197600089718919</v>
      </c>
      <c r="S13" s="2">
        <f>0.176577564232044*(8350/2783.333)</f>
        <v>0.52973275613718063</v>
      </c>
      <c r="T13" s="2">
        <f t="shared" si="0"/>
        <v>0.10069243236843764</v>
      </c>
      <c r="U13" s="2">
        <f t="shared" si="1"/>
        <v>0.11437794326585224</v>
      </c>
      <c r="V13" s="2">
        <f t="shared" si="2"/>
        <v>0.11043877033537902</v>
      </c>
      <c r="W13" s="2">
        <f t="shared" si="3"/>
        <v>0.10705744606724045</v>
      </c>
      <c r="X13" s="2">
        <f t="shared" si="4"/>
        <v>0.11728533803050227</v>
      </c>
      <c r="Y13" s="2">
        <f t="shared" si="5"/>
        <v>0.10928020503416074</v>
      </c>
      <c r="Z13" s="2">
        <f t="shared" si="6"/>
        <v>0.10579568013572224</v>
      </c>
      <c r="AA13" s="2">
        <f t="shared" si="7"/>
        <v>0.11798772791544039</v>
      </c>
      <c r="AB13" s="2">
        <f t="shared" si="8"/>
        <v>0.10026757173055721</v>
      </c>
      <c r="AC13" s="2">
        <f t="shared" si="9"/>
        <v>0.1151901624778385</v>
      </c>
      <c r="AD13" s="2">
        <f t="shared" si="10"/>
        <v>0.10227444344259566</v>
      </c>
      <c r="AE13" s="2">
        <f t="shared" si="11"/>
        <v>0.10987695088187602</v>
      </c>
      <c r="AF13" s="2">
        <f t="shared" si="12"/>
        <v>0.11908712371493149</v>
      </c>
      <c r="AG13" s="2">
        <f t="shared" si="13"/>
        <v>9.9235315312320327E-2</v>
      </c>
      <c r="AH13" s="2">
        <f t="shared" si="14"/>
        <v>0.1199891551819615</v>
      </c>
      <c r="AI13" s="2">
        <f t="shared" si="15"/>
        <v>0.10099811712417744</v>
      </c>
      <c r="AJ13" s="2">
        <f>0.167216528572603*(8350/2783.333)</f>
        <v>0.50164964579561122</v>
      </c>
      <c r="AK13" s="2">
        <f>0.460455305937724*(8350/2783.333)</f>
        <v>1.3813660832462358</v>
      </c>
      <c r="AL13" s="2">
        <f>0.290018397714431*(8350/2783.333)</f>
        <v>0.87005529734153131</v>
      </c>
      <c r="AM13" s="2">
        <f>0.367506860046362*(8350/2783.333)</f>
        <v>1.1025207121774931</v>
      </c>
      <c r="AN13" s="2">
        <f>0.223599590850276*(8350/2783.333)</f>
        <v>0.67079885288602026</v>
      </c>
      <c r="AO13" s="2">
        <f>0.152523030378503*(8350/2783.333)</f>
        <v>0.45756914593420767</v>
      </c>
      <c r="AP13" s="2">
        <f>0.164419897810809*(8350/2783.333)</f>
        <v>0.49325975250545151</v>
      </c>
      <c r="AQ13" s="2">
        <f>0.140766888789018*(8350/2783.333)</f>
        <v>0.42230071694199073</v>
      </c>
      <c r="AR13" s="2">
        <f>0.204338438708007*(8350/2783.333)</f>
        <v>0.61301538953903678</v>
      </c>
      <c r="AS13" s="2">
        <f>0.171394997215576*(8350/2783.333)</f>
        <v>0.5141850532257769</v>
      </c>
      <c r="AT13" s="2">
        <f>0.191821827894858*(8350/2783.333)</f>
        <v>0.57546555260260401</v>
      </c>
      <c r="AU13" s="2">
        <f>0.121411922955552*(8350/2783.333)</f>
        <v>0.36423581248771142</v>
      </c>
      <c r="AV13" s="2">
        <f>0.0904589888195253*(8350/2783.333)</f>
        <v>0.27137699895881517</v>
      </c>
      <c r="AW13" s="2">
        <f>0.0778722203720001*(8350/2783.333)</f>
        <v>0.2336166890940469</v>
      </c>
    </row>
    <row r="14" spans="1:49" x14ac:dyDescent="0.25">
      <c r="A14" s="5">
        <v>45636</v>
      </c>
      <c r="B14" s="2">
        <f>0.229277314612573*(8350/2783.333)</f>
        <v>0.68783202621281159</v>
      </c>
      <c r="C14" s="2">
        <f>0.233560572751079*(8350/2783.333)</f>
        <v>0.70068180216722431</v>
      </c>
      <c r="D14" s="2">
        <f>0.196779902366031*(8350/2783.333)</f>
        <v>0.59033977779746671</v>
      </c>
      <c r="E14" s="2">
        <f>0.227473692010331*(8350/2783.333)</f>
        <v>0.68242115775807743</v>
      </c>
      <c r="F14" s="2">
        <f>0.189039066559621*(8350/2783.333)</f>
        <v>0.56711726759709924</v>
      </c>
      <c r="G14" s="2">
        <f>0.197575027688907*(8350/2783.333)</f>
        <v>0.59272515405176907</v>
      </c>
      <c r="H14" s="2">
        <f>0.231586411122643*(8350/2783.333)</f>
        <v>0.69475931657263812</v>
      </c>
      <c r="I14" s="2">
        <f>0.229731661952166*(8350/2783.333)</f>
        <v>0.68919506839483013</v>
      </c>
      <c r="J14" s="2">
        <f>0.180231038893343*(8350/2783.333)</f>
        <v>0.54069318143370493</v>
      </c>
      <c r="K14" s="2">
        <f>0.221035181973418*(8350/2783.333)</f>
        <v>0.66310562533410167</v>
      </c>
      <c r="L14" s="2">
        <f>0.230493816923582*(8350/2783.333)</f>
        <v>0.69148153358290543</v>
      </c>
      <c r="M14" s="2">
        <f>0.322484541989604*(8350/2783.333)</f>
        <v>0.96745374183153532</v>
      </c>
      <c r="N14" s="2">
        <f>0.324652887575775*(8350/2783.333)</f>
        <v>0.97395877936909592</v>
      </c>
      <c r="O14" s="2">
        <f>0.361312949114063*(8350/2783.333)</f>
        <v>1.0839389771552417</v>
      </c>
      <c r="P14" s="2">
        <f>0.329766984612832*(8350/2783.333)</f>
        <v>0.98930107231766751</v>
      </c>
      <c r="Q14" s="2">
        <f>0.339595374320495*(8350/2783.333)</f>
        <v>1.0187862449718139</v>
      </c>
      <c r="R14" s="2">
        <f>0.408284420884301*(8350/2783.333)</f>
        <v>1.2248534093419337</v>
      </c>
      <c r="S14" s="2">
        <f>0.146223480328281*(8350/2783.333)</f>
        <v>0.43867049352023085</v>
      </c>
      <c r="T14" s="2">
        <f t="shared" si="0"/>
        <v>0.10069243236843764</v>
      </c>
      <c r="U14" s="2">
        <f t="shared" si="1"/>
        <v>0.11437794326585224</v>
      </c>
      <c r="V14" s="2">
        <f t="shared" si="2"/>
        <v>0.11043877033537902</v>
      </c>
      <c r="W14" s="2">
        <f t="shared" si="3"/>
        <v>0.10705744606724045</v>
      </c>
      <c r="X14" s="2">
        <f t="shared" si="4"/>
        <v>0.11728533803050227</v>
      </c>
      <c r="Y14" s="2">
        <f t="shared" si="5"/>
        <v>0.10928020503416074</v>
      </c>
      <c r="Z14" s="2">
        <f t="shared" si="6"/>
        <v>0.10579568013572224</v>
      </c>
      <c r="AA14" s="2">
        <f t="shared" si="7"/>
        <v>0.11798772791544039</v>
      </c>
      <c r="AB14" s="2">
        <f t="shared" si="8"/>
        <v>0.10026757173055721</v>
      </c>
      <c r="AC14" s="2">
        <f t="shared" si="9"/>
        <v>0.1151901624778385</v>
      </c>
      <c r="AD14" s="2">
        <f t="shared" si="10"/>
        <v>0.10227444344259566</v>
      </c>
      <c r="AE14" s="2">
        <f t="shared" si="11"/>
        <v>0.10987695088187602</v>
      </c>
      <c r="AF14" s="2">
        <f t="shared" si="12"/>
        <v>0.11908712371493149</v>
      </c>
      <c r="AG14" s="2">
        <f t="shared" si="13"/>
        <v>9.9235315312320327E-2</v>
      </c>
      <c r="AH14" s="2">
        <f t="shared" si="14"/>
        <v>0.1199891551819615</v>
      </c>
      <c r="AI14" s="2">
        <f t="shared" si="15"/>
        <v>0.10099811712417744</v>
      </c>
      <c r="AJ14" s="2">
        <f>0.171916177154426*(8350/2783.333)</f>
        <v>0.51574859322957656</v>
      </c>
      <c r="AK14" s="2">
        <f>0.339046192067425*(8350/2783.333)</f>
        <v>1.0171386980152941</v>
      </c>
      <c r="AL14" s="2">
        <f>0.359289392609552*(8350/2783.333)</f>
        <v>1.0778683069146815</v>
      </c>
      <c r="AM14" s="2">
        <f>0.359244565530931*(8350/2783.333)</f>
        <v>1.0777338256627109</v>
      </c>
      <c r="AN14" s="2">
        <f>0.267698399045747*(8350/2783.333)</f>
        <v>0.80309529331631802</v>
      </c>
      <c r="AO14" s="2">
        <f>0.120287243136079*(8350/2783.333)</f>
        <v>0.36086177262521635</v>
      </c>
      <c r="AP14" s="2">
        <f>0.117942540678878*(8350/2783.333)</f>
        <v>0.35382766441120517</v>
      </c>
      <c r="AQ14" s="2">
        <f>0.165498496205621*(8350/2783.333)</f>
        <v>0.49649554807740703</v>
      </c>
      <c r="AR14" s="2">
        <f>0.232269592200468*(8350/2783.333)</f>
        <v>0.6968088600515675</v>
      </c>
      <c r="AS14" s="2">
        <f>0.204998706800994*(8350/2783.333)</f>
        <v>0.61499619405522132</v>
      </c>
      <c r="AT14" s="2">
        <f>0.167885086978064*(8350/2783.333)</f>
        <v>0.50365532125219337</v>
      </c>
      <c r="AU14" s="2">
        <f>0.133519942594562*(8350/2783.333)</f>
        <v>0.40055987575492891</v>
      </c>
      <c r="AV14" s="2">
        <f>0.0955705412699436*(8350/2783.333)</f>
        <v>0.28671165814655647</v>
      </c>
      <c r="AW14" s="2">
        <f>0.071499443854531*(8350/2783.333)</f>
        <v>0.21449835725201913</v>
      </c>
    </row>
    <row r="15" spans="1:49" x14ac:dyDescent="0.25">
      <c r="A15" s="5">
        <v>45637</v>
      </c>
      <c r="B15" s="2">
        <f>0.187717882839622*(8350/2783.333)</f>
        <v>0.56315371596242503</v>
      </c>
      <c r="C15" s="2">
        <f>0.210012284551896*(8350/2783.333)</f>
        <v>0.63003692910921216</v>
      </c>
      <c r="D15" s="2">
        <f>0.179566551065622*(8350/2783.333)</f>
        <v>0.53869971771180369</v>
      </c>
      <c r="E15" s="2">
        <f>0.210332089964746*(8350/2783.333)</f>
        <v>0.63099634546266226</v>
      </c>
      <c r="F15" s="2">
        <f>0.176150039294192*(8350/2783.333)</f>
        <v>0.52845018117002407</v>
      </c>
      <c r="G15" s="2">
        <f>0.215579466662956*(8350/2783.333)</f>
        <v>0.64673847744257784</v>
      </c>
      <c r="H15" s="2">
        <f>0.212009003172069*(8350/2783.333)</f>
        <v>0.63602708568711608</v>
      </c>
      <c r="I15" s="2">
        <f>0.197578549021741*(8350/2783.333)</f>
        <v>0.5927357180515378</v>
      </c>
      <c r="J15" s="2">
        <f>0.178250478026384*(8350/2783.333)</f>
        <v>0.53475149812124667</v>
      </c>
      <c r="K15" s="2">
        <f>0.221558962025488*(8350/2783.333)</f>
        <v>0.66467696567849543</v>
      </c>
      <c r="L15" s="2">
        <f>0.294150051561322*(8350/2783.333)</f>
        <v>0.88245026036663199</v>
      </c>
      <c r="M15" s="2">
        <f>0.242303959145194*(8350/2783.333)</f>
        <v>0.72691196449090734</v>
      </c>
      <c r="N15" s="2">
        <f>0.285647261519948*(8350/2783.333)</f>
        <v>0.85694188718761399</v>
      </c>
      <c r="O15" s="2">
        <f>0.491265423535546*(8350/2783.333)</f>
        <v>1.4737964471092053</v>
      </c>
      <c r="P15" s="2">
        <f>0.28364271356241*(8350/2783.333)</f>
        <v>0.8509282425948046</v>
      </c>
      <c r="Q15" s="2">
        <f>0.331577150204594*(8350/2783.333)</f>
        <v>0.99473156974331212</v>
      </c>
      <c r="R15" s="2">
        <f>0.487187153088013*(8350/2783.333)</f>
        <v>1.4615616343013591</v>
      </c>
      <c r="S15" s="2">
        <f>0.164713277630065*(8350/2783.333)</f>
        <v>0.49413989206862641</v>
      </c>
      <c r="T15" s="2">
        <f t="shared" si="0"/>
        <v>0.10069243236843764</v>
      </c>
      <c r="U15" s="2">
        <f t="shared" si="1"/>
        <v>0.11437794326585224</v>
      </c>
      <c r="V15" s="2">
        <f t="shared" si="2"/>
        <v>0.11043877033537902</v>
      </c>
      <c r="W15" s="2">
        <f t="shared" si="3"/>
        <v>0.10705744606724045</v>
      </c>
      <c r="X15" s="2">
        <f t="shared" si="4"/>
        <v>0.11728533803050227</v>
      </c>
      <c r="Y15" s="2">
        <f t="shared" si="5"/>
        <v>0.10928020503416074</v>
      </c>
      <c r="Z15" s="2">
        <f t="shared" si="6"/>
        <v>0.10579568013572224</v>
      </c>
      <c r="AA15" s="2">
        <f t="shared" si="7"/>
        <v>0.11798772791544039</v>
      </c>
      <c r="AB15" s="2">
        <f t="shared" si="8"/>
        <v>0.10026757173055721</v>
      </c>
      <c r="AC15" s="2">
        <f t="shared" si="9"/>
        <v>0.1151901624778385</v>
      </c>
      <c r="AD15" s="2">
        <f t="shared" si="10"/>
        <v>0.10227444344259566</v>
      </c>
      <c r="AE15" s="2">
        <f t="shared" si="11"/>
        <v>0.10987695088187602</v>
      </c>
      <c r="AF15" s="2">
        <f t="shared" si="12"/>
        <v>0.11908712371493149</v>
      </c>
      <c r="AG15" s="2">
        <f t="shared" si="13"/>
        <v>9.9235315312320327E-2</v>
      </c>
      <c r="AH15" s="2">
        <f t="shared" si="14"/>
        <v>0.1199891551819615</v>
      </c>
      <c r="AI15" s="2">
        <f t="shared" si="15"/>
        <v>0.10099811712417744</v>
      </c>
      <c r="AJ15" s="2">
        <f>0.243017312150392*(8350/2783.333)</f>
        <v>0.72905202376279654</v>
      </c>
      <c r="AK15" s="2">
        <f>0.323158085807856*(8350/2783.333)</f>
        <v>0.96947437352828281</v>
      </c>
      <c r="AL15" s="2">
        <f>0.334282850883927*(8350/2783.333)</f>
        <v>1.0028486727534189</v>
      </c>
      <c r="AM15" s="2">
        <f>0.403199972353023*(8350/2783.333)</f>
        <v>1.2096000619213505</v>
      </c>
      <c r="AN15" s="2">
        <f>0.58632781600739*(8350/2783.333)</f>
        <v>1.7589836586788967</v>
      </c>
      <c r="AO15" s="2">
        <f>0.178789227390847*(8350/2783.333)</f>
        <v>0.53636774640820017</v>
      </c>
      <c r="AP15" s="2">
        <f>0.166918680452311*(8350/2783.333)</f>
        <v>0.50075610132772264</v>
      </c>
      <c r="AQ15" s="2">
        <f>0.237491189027922*(8350/2783.333)</f>
        <v>0.71247365240995342</v>
      </c>
      <c r="AR15" s="2">
        <f>0.196498114920649*(8350/2783.333)</f>
        <v>0.58949441536008174</v>
      </c>
      <c r="AS15" s="2">
        <f>0.193261525941016*(8350/2783.333)</f>
        <v>0.5797846472583339</v>
      </c>
      <c r="AT15" s="2">
        <f>0.126569616354556*(8350/2783.333)</f>
        <v>0.3797088945377865</v>
      </c>
      <c r="AU15" s="2">
        <f>0.112123579122887*(8350/2783.333)</f>
        <v>0.33637077765258616</v>
      </c>
      <c r="AV15" s="2">
        <f>0.096499914442747*(8350/2783.333)</f>
        <v>0.28949977799887311</v>
      </c>
      <c r="AW15" s="2">
        <f>0.0816026261383235*(8350/2783.333)</f>
        <v>0.24480790773328273</v>
      </c>
    </row>
    <row r="16" spans="1:49" x14ac:dyDescent="0.25">
      <c r="A16" s="5">
        <v>45638</v>
      </c>
      <c r="B16" s="2">
        <f>0.241418272209166*(8350/2783.333)</f>
        <v>0.72425490336461096</v>
      </c>
      <c r="C16" s="2">
        <f>0.219143253445456*(8350/2783.333)</f>
        <v>0.65742983907048191</v>
      </c>
      <c r="D16" s="2">
        <f>0.185434739008943*(8350/2783.333)</f>
        <v>0.55630428365009765</v>
      </c>
      <c r="E16" s="2">
        <f>0.307622263736985*(8350/2783.333)</f>
        <v>0.92286690173393715</v>
      </c>
      <c r="F16" s="2">
        <f>0.347222582998974*(8350/2783.333)</f>
        <v>1.0416678737475642</v>
      </c>
      <c r="G16" s="2">
        <f>0.388516841018954*(8350/2783.333)</f>
        <v>1.1655506626437662</v>
      </c>
      <c r="H16" s="2">
        <f>0.393935647785939*(8350/2783.333)</f>
        <v>1.1818070848916011</v>
      </c>
      <c r="I16" s="2">
        <f>0.32106514216033*(8350/2783.333)</f>
        <v>0.96319554183374867</v>
      </c>
      <c r="J16" s="2">
        <f>0.17943881454656*(8350/2783.333)</f>
        <v>0.53831650810872167</v>
      </c>
      <c r="K16" s="2">
        <f>0.239891263847928*(8350/2783.333)</f>
        <v>0.71967387773227143</v>
      </c>
      <c r="L16" s="2">
        <f>0.292901890097837*(8350/2783.333)</f>
        <v>0.87870577552773499</v>
      </c>
      <c r="M16" s="2">
        <f>0.425133310136568*(8350/2783.333)</f>
        <v>1.275400083152229</v>
      </c>
      <c r="N16" s="2">
        <f>0.509437116062472*(8350/2783.333)</f>
        <v>1.5283115312187383</v>
      </c>
      <c r="O16" s="2">
        <f>0.280186548897184*(8350/2783.333)</f>
        <v>0.84055974735739092</v>
      </c>
      <c r="P16" s="2">
        <f>0.377615527478224*(8350/2783.333)</f>
        <v>1.1328467181049371</v>
      </c>
      <c r="Q16" s="2">
        <f>0.507506420512295*(8350/2783.333)</f>
        <v>1.522519443874544</v>
      </c>
      <c r="R16" s="2">
        <f>0.479371316407456*(8350/2783.333)</f>
        <v>1.4381141214516049</v>
      </c>
      <c r="S16" s="2">
        <f>0.175344911078592*(8350/2783.333)</f>
        <v>0.52603479623395433</v>
      </c>
      <c r="T16" s="2">
        <f t="shared" si="0"/>
        <v>0.10069243236843764</v>
      </c>
      <c r="U16" s="2">
        <f t="shared" si="1"/>
        <v>0.11437794326585224</v>
      </c>
      <c r="V16" s="2">
        <f t="shared" si="2"/>
        <v>0.11043877033537902</v>
      </c>
      <c r="W16" s="2">
        <f t="shared" si="3"/>
        <v>0.10705744606724045</v>
      </c>
      <c r="X16" s="2">
        <f t="shared" si="4"/>
        <v>0.11728533803050227</v>
      </c>
      <c r="Y16" s="2">
        <f t="shared" si="5"/>
        <v>0.10928020503416074</v>
      </c>
      <c r="Z16" s="2">
        <f t="shared" si="6"/>
        <v>0.10579568013572224</v>
      </c>
      <c r="AA16" s="2">
        <f t="shared" si="7"/>
        <v>0.11798772791544039</v>
      </c>
      <c r="AB16" s="2">
        <f t="shared" si="8"/>
        <v>0.10026757173055721</v>
      </c>
      <c r="AC16" s="2">
        <f t="shared" si="9"/>
        <v>0.1151901624778385</v>
      </c>
      <c r="AD16" s="2">
        <f t="shared" si="10"/>
        <v>0.10227444344259566</v>
      </c>
      <c r="AE16" s="2">
        <f t="shared" si="11"/>
        <v>0.10987695088187602</v>
      </c>
      <c r="AF16" s="2">
        <f t="shared" si="12"/>
        <v>0.11908712371493149</v>
      </c>
      <c r="AG16" s="2">
        <f t="shared" si="13"/>
        <v>9.9235315312320327E-2</v>
      </c>
      <c r="AH16" s="2">
        <f t="shared" si="14"/>
        <v>0.1199891551819615</v>
      </c>
      <c r="AI16" s="2">
        <f t="shared" si="15"/>
        <v>0.10099811712417744</v>
      </c>
      <c r="AJ16" s="2">
        <f>0.0996022296212151*(8350/2783.333)</f>
        <v>0.29880672464888169</v>
      </c>
      <c r="AK16" s="2">
        <f>0.205945830194802*(8350/2783.333)</f>
        <v>0.61783756457692962</v>
      </c>
      <c r="AL16" s="2">
        <f>0.55704227430185*(8350/2783.333)</f>
        <v>1.671127023040522</v>
      </c>
      <c r="AM16" s="2">
        <f>0.316280634050691*(8350/2783.333)</f>
        <v>0.94884201578584626</v>
      </c>
      <c r="AN16" s="2">
        <f>0.758685833954478*(8350/2783.333)</f>
        <v>2.2760577744452042</v>
      </c>
      <c r="AO16" s="2">
        <f>0.380113657900241*(8350/2783.333)</f>
        <v>1.1403411102685197</v>
      </c>
      <c r="AP16" s="2">
        <f>0.235885081357756*(8350/2783.333)</f>
        <v>0.70765532882241067</v>
      </c>
      <c r="AQ16" s="2">
        <f>0.354373443257071*(8350/2783.333)</f>
        <v>1.0631204570910291</v>
      </c>
      <c r="AR16" s="2">
        <f>0.25971072545622*(8350/2783.333)</f>
        <v>0.7791322696779126</v>
      </c>
      <c r="AS16" s="2">
        <f>0.281209990741128*(8350/2783.333)</f>
        <v>0.84363007325692652</v>
      </c>
      <c r="AT16" s="2">
        <f>0.106403731883558*(8350/2783.333)</f>
        <v>0.31921123387956396</v>
      </c>
      <c r="AU16" s="2">
        <f>0.09902037978752*(8350/2783.333)</f>
        <v>0.29706117493874851</v>
      </c>
      <c r="AV16" s="2">
        <f>0.0862768095419102*(8350/2783.333)</f>
        <v>0.25883045962339052</v>
      </c>
      <c r="AW16" s="2">
        <f>0.0721211781489183*(8350/2783.333)</f>
        <v>0.21636356035855847</v>
      </c>
    </row>
    <row r="17" spans="1:49" x14ac:dyDescent="0.25">
      <c r="A17" s="5">
        <v>45639</v>
      </c>
      <c r="B17" s="2">
        <f>0.210131958402562*(8350/2783.333)</f>
        <v>0.63039595070420673</v>
      </c>
      <c r="C17" s="2">
        <f>0.213376325723208*(8350/2783.333)</f>
        <v>0.6401290538317852</v>
      </c>
      <c r="D17" s="2">
        <f>0.177219275888294*(8350/2783.333)</f>
        <v>0.53165789133648578</v>
      </c>
      <c r="E17" s="2">
        <f>0.20384607837993*(8350/2783.333)</f>
        <v>0.61153830837791046</v>
      </c>
      <c r="F17" s="2">
        <f>0.173806579791387*(8350/2783.333)</f>
        <v>0.52141980181964687</v>
      </c>
      <c r="G17" s="2">
        <f>0.204208242047767*(8350/2783.333)</f>
        <v>0.61262479951154081</v>
      </c>
      <c r="H17" s="2">
        <f>0.208189021132933*(8350/2783.333)</f>
        <v>0.62456713819725829</v>
      </c>
      <c r="I17" s="2">
        <f>0.202704407604852*(8350/2783.333)</f>
        <v>0.60811329564249672</v>
      </c>
      <c r="J17" s="2">
        <f>0.147749840675203*(8350/2783.333)</f>
        <v>0.44324957510938928</v>
      </c>
      <c r="K17" s="2">
        <f>0.218940061765139*(8350/2783.333)</f>
        <v>0.65682026395652759</v>
      </c>
      <c r="L17" s="2">
        <f>0.289157405707382*(8350/2783.333)</f>
        <v>0.86747232101104543</v>
      </c>
      <c r="M17" s="2">
        <f>0.292086408933207*(8350/2783.333)</f>
        <v>0.87625933174085813</v>
      </c>
      <c r="N17" s="2">
        <f>0.469643497561073*(8350/2783.333)</f>
        <v>1.4089306614174295</v>
      </c>
      <c r="O17" s="2">
        <f>0.746663350144239*(8350/2783.333)</f>
        <v>2.2399903186950305</v>
      </c>
      <c r="P17" s="2">
        <f>0.550473776928872*(8350/2783.333)</f>
        <v>1.6514215285616487</v>
      </c>
      <c r="Q17" s="2">
        <f>0.72116851018894*(8350/2783.333)</f>
        <v>2.1635057896693093</v>
      </c>
      <c r="R17" s="2">
        <f>0.424288276944488*(8350/2783.333)</f>
        <v>1.2728649832723831</v>
      </c>
      <c r="S17" s="2">
        <f>0.165021440918428*(8350/2783.333)</f>
        <v>0.49506438204443304</v>
      </c>
      <c r="T17" s="2">
        <f t="shared" si="0"/>
        <v>0.10069243236843764</v>
      </c>
      <c r="U17" s="2">
        <f t="shared" si="1"/>
        <v>0.11437794326585224</v>
      </c>
      <c r="V17" s="2">
        <f t="shared" si="2"/>
        <v>0.11043877033537902</v>
      </c>
      <c r="W17" s="2">
        <f t="shared" si="3"/>
        <v>0.10705744606724045</v>
      </c>
      <c r="X17" s="2">
        <f t="shared" si="4"/>
        <v>0.11728533803050227</v>
      </c>
      <c r="Y17" s="2">
        <f t="shared" si="5"/>
        <v>0.10928020503416074</v>
      </c>
      <c r="Z17" s="2">
        <f t="shared" si="6"/>
        <v>0.10579568013572224</v>
      </c>
      <c r="AA17" s="2">
        <f t="shared" si="7"/>
        <v>0.11798772791544039</v>
      </c>
      <c r="AB17" s="2">
        <f t="shared" si="8"/>
        <v>0.10026757173055721</v>
      </c>
      <c r="AC17" s="2">
        <f t="shared" si="9"/>
        <v>0.1151901624778385</v>
      </c>
      <c r="AD17" s="2">
        <f t="shared" si="10"/>
        <v>0.10227444344259566</v>
      </c>
      <c r="AE17" s="2">
        <f t="shared" si="11"/>
        <v>0.10987695088187602</v>
      </c>
      <c r="AF17" s="2">
        <f t="shared" si="12"/>
        <v>0.11908712371493149</v>
      </c>
      <c r="AG17" s="2">
        <f t="shared" si="13"/>
        <v>9.9235315312320327E-2</v>
      </c>
      <c r="AH17" s="2">
        <f t="shared" si="14"/>
        <v>0.1199891551819615</v>
      </c>
      <c r="AI17" s="2">
        <f t="shared" si="15"/>
        <v>0.10099811712417744</v>
      </c>
      <c r="AJ17" s="2">
        <f>0.205874928197276*(8350/2783.333)</f>
        <v>0.61762485855887606</v>
      </c>
      <c r="AK17" s="2">
        <f>0.369623302227353*(8350/2783.333)</f>
        <v>1.108870039480865</v>
      </c>
      <c r="AL17" s="2">
        <f>0.301515658277936*(8350/2783.333)</f>
        <v>0.90454708316280052</v>
      </c>
      <c r="AM17" s="2">
        <f>0.352304238137969*(8350/2783.333)</f>
        <v>1.0569128409902941</v>
      </c>
      <c r="AN17" s="2">
        <f>0.20900350644755*(8350/2783.333)</f>
        <v>0.62701059443373786</v>
      </c>
      <c r="AO17" s="2">
        <f>0.111034378279458*(8350/2783.333)</f>
        <v>0.33310317473096918</v>
      </c>
      <c r="AP17" s="2">
        <f>0.128270842263752*(8350/2783.333)</f>
        <v>0.38481257287659321</v>
      </c>
      <c r="AQ17" s="2">
        <f>0.156859373066945*(8350/2783.333)</f>
        <v>0.47057817555750125</v>
      </c>
      <c r="AR17" s="2">
        <f>0.197804835551876*(8350/2783.333)</f>
        <v>0.59341457772324091</v>
      </c>
      <c r="AS17" s="2">
        <f>0.268025760186084*(8350/2783.333)</f>
        <v>0.80407737685494374</v>
      </c>
      <c r="AT17" s="2">
        <f>0.160179423806219*(8350/2783.333)</f>
        <v>0.48053832896815718</v>
      </c>
      <c r="AU17" s="2">
        <f>0.181786157867876*(8350/2783.333)</f>
        <v>0.54535853891602726</v>
      </c>
      <c r="AV17" s="2">
        <f>0.112299258380404*(8350/2783.333)</f>
        <v>0.3368978154882552</v>
      </c>
      <c r="AW17" s="2">
        <f>0.112223040136894*(8350/2783.333)</f>
        <v>0.33666916073034286</v>
      </c>
    </row>
    <row r="18" spans="1:49" x14ac:dyDescent="0.25">
      <c r="A18" s="5">
        <v>45640</v>
      </c>
      <c r="B18" s="2">
        <f>0.219938116461348*(8350/2783.333)</f>
        <v>0.65981442840373628</v>
      </c>
      <c r="C18" s="2">
        <f>0.272967912186446*(8350/2783.333)</f>
        <v>0.81890383463165284</v>
      </c>
      <c r="D18" s="2">
        <f>0.178784126006513*(8350/2783.333)</f>
        <v>0.53635244225336409</v>
      </c>
      <c r="E18" s="2">
        <f>0.215891528466017*(8350/2783.333)</f>
        <v>0.64767466296387777</v>
      </c>
      <c r="F18" s="2">
        <f>0.182399264635006*(8350/2783.333)</f>
        <v>0.54719785943769694</v>
      </c>
      <c r="G18" s="2">
        <f>0.21463186461169*(8350/2783.333)</f>
        <v>0.64389567094832423</v>
      </c>
      <c r="H18" s="2">
        <f>0.232541406632427*(8350/2783.333)</f>
        <v>0.69762430344510296</v>
      </c>
      <c r="I18" s="2">
        <f>0.20969421476364*(8350/2783.333)</f>
        <v>0.62908271963016904</v>
      </c>
      <c r="J18" s="2">
        <f>0.181419375413519*(8350/2783.333)</f>
        <v>0.54425819142117993</v>
      </c>
      <c r="K18" s="2">
        <f>0.233605903223091*(8350/2783.333)</f>
        <v>0.70081779359954821</v>
      </c>
      <c r="L18" s="2">
        <f>0.310376150586628*(8350/2783.333)</f>
        <v>0.93112856327228777</v>
      </c>
      <c r="M18" s="2">
        <f>0.262569381182792*(8350/2783.333)</f>
        <v>0.78770823788469291</v>
      </c>
      <c r="N18" s="2">
        <f>0.729287008377136*(8350/2783.333)</f>
        <v>2.187861287150723</v>
      </c>
      <c r="O18" s="2">
        <f>0.41840189741483*(8350/2783.333)</f>
        <v>1.2552058425685433</v>
      </c>
      <c r="P18" s="2">
        <f>0.502194166109738*(8350/2783.333)</f>
        <v>1.5065826787582779</v>
      </c>
      <c r="Q18" s="2">
        <f>0.284882786235526*(8350/2783.333)</f>
        <v>0.85464846105968828</v>
      </c>
      <c r="R18" s="2">
        <f>0.2199599751528*(8350/2783.333)</f>
        <v>0.65988000448594597</v>
      </c>
      <c r="S18" s="2">
        <f>0.0600918412308003*(8350/2783.333)</f>
        <v>0.18027554528228662</v>
      </c>
      <c r="T18" s="2">
        <f t="shared" si="0"/>
        <v>0.10069243236843764</v>
      </c>
      <c r="U18" s="2">
        <f t="shared" si="1"/>
        <v>0.11437794326585224</v>
      </c>
      <c r="V18" s="2">
        <f t="shared" si="2"/>
        <v>0.11043877033537902</v>
      </c>
      <c r="W18" s="2">
        <f t="shared" si="3"/>
        <v>0.10705744606724045</v>
      </c>
      <c r="X18" s="2">
        <f t="shared" si="4"/>
        <v>0.11728533803050227</v>
      </c>
      <c r="Y18" s="2">
        <f t="shared" si="5"/>
        <v>0.10928020503416074</v>
      </c>
      <c r="Z18" s="2">
        <f t="shared" si="6"/>
        <v>0.10579568013572224</v>
      </c>
      <c r="AA18" s="2">
        <f t="shared" si="7"/>
        <v>0.11798772791544039</v>
      </c>
      <c r="AB18" s="2">
        <f t="shared" si="8"/>
        <v>0.10026757173055721</v>
      </c>
      <c r="AC18" s="2">
        <f t="shared" si="9"/>
        <v>0.1151901624778385</v>
      </c>
      <c r="AD18" s="2">
        <f t="shared" si="10"/>
        <v>0.10227444344259566</v>
      </c>
      <c r="AE18" s="2">
        <f t="shared" si="11"/>
        <v>0.10987695088187602</v>
      </c>
      <c r="AF18" s="2">
        <f t="shared" si="12"/>
        <v>0.11908712371493149</v>
      </c>
      <c r="AG18" s="2">
        <f t="shared" si="13"/>
        <v>9.9235315312320327E-2</v>
      </c>
      <c r="AH18" s="2">
        <f t="shared" si="14"/>
        <v>0.1199891551819615</v>
      </c>
      <c r="AI18" s="2">
        <f t="shared" si="15"/>
        <v>0.10099811712417744</v>
      </c>
      <c r="AJ18" s="2">
        <f>0.12961933991802*(8350/2783.333)</f>
        <v>0.38885806632388709</v>
      </c>
      <c r="AK18" s="2">
        <f>0.269198479643279*(8350/2783.333)</f>
        <v>0.80759553564786402</v>
      </c>
      <c r="AL18" s="2">
        <f>0.292317849827132*(8350/2783.333)</f>
        <v>0.87695365450578489</v>
      </c>
      <c r="AM18" s="2">
        <f>0.268689817641809*(8350/2783.333)</f>
        <v>0.80606954946070297</v>
      </c>
      <c r="AN18" s="2">
        <f>0.254965644566773*(8350/2783.333)</f>
        <v>0.76489702530475356</v>
      </c>
      <c r="AO18" s="2">
        <f>0.121331921426343*(8350/2783.333)</f>
        <v>0.36399580787134134</v>
      </c>
      <c r="AP18" s="2">
        <f>0.150759886037267*(8350/2783.333)</f>
        <v>0.45227971227703478</v>
      </c>
      <c r="AQ18" s="2">
        <f>0.178372483627962*(8350/2783.333)</f>
        <v>0.5351175149698153</v>
      </c>
      <c r="AR18" s="2">
        <f>0.145536010302825*(8350/2783.333)</f>
        <v>0.43660808319686822</v>
      </c>
      <c r="AS18" s="2">
        <f>0.136344237935093*(8350/2783.333)</f>
        <v>0.40903276279123713</v>
      </c>
      <c r="AT18" s="2">
        <f>0.139357738214213*(8350/2783.333)</f>
        <v>0.41807326471129341</v>
      </c>
      <c r="AU18" s="2">
        <f>0.145130372385394*(8350/2783.333)</f>
        <v>0.43539116929883587</v>
      </c>
      <c r="AV18" s="2">
        <f>0.127633915731659*(8350/2783.333)</f>
        <v>0.38290179305147881</v>
      </c>
      <c r="AW18" s="2">
        <f>0.168179126631745*(8350/2783.333)</f>
        <v>0.50453744031887993</v>
      </c>
    </row>
    <row r="19" spans="1:49" x14ac:dyDescent="0.25">
      <c r="A19" s="5">
        <v>45641</v>
      </c>
      <c r="B19" s="2">
        <f>0.520660296930792*(8350/2783.333)</f>
        <v>1.5619810778559791</v>
      </c>
      <c r="C19" s="2">
        <f>0.384461848149924*(8350/2783.333)</f>
        <v>1.1533856825797932</v>
      </c>
      <c r="D19" s="2">
        <f>0.266024520097218*(8350/2783.333)</f>
        <v>0.79807365586933854</v>
      </c>
      <c r="E19" s="2">
        <f>0.230253411260966*(8350/2783.333)</f>
        <v>0.69076031650868508</v>
      </c>
      <c r="F19" s="2">
        <f>0.193335408981431*(8350/2783.333)</f>
        <v>0.58000629640612456</v>
      </c>
      <c r="G19" s="2">
        <f>0.248271737431624*(8350/2783.333)</f>
        <v>0.7448153014943093</v>
      </c>
      <c r="H19" s="2">
        <f>0.238271379691132*(8350/2783.333)</f>
        <v>0.71481422467988998</v>
      </c>
      <c r="I19" s="2">
        <f>0.237653443398792*(8350/2783.333)</f>
        <v>0.71296041558085832</v>
      </c>
      <c r="J19" s="2">
        <f>0.20162109625651*(8350/2783.333)</f>
        <v>0.60486336120825468</v>
      </c>
      <c r="K19" s="2">
        <f>0.259794905826577*(8350/2783.333)</f>
        <v>0.77938481081922872</v>
      </c>
      <c r="L19" s="2">
        <f>0.208442964402012*(8350/2783.333)</f>
        <v>0.62532896809573213</v>
      </c>
      <c r="M19" s="2">
        <f>0.215430247312727*(8350/2783.333)</f>
        <v>0.6462908193382797</v>
      </c>
      <c r="N19" s="2">
        <f>0.196998111393067*(8350/2783.333)</f>
        <v>0.59099440495697519</v>
      </c>
      <c r="O19" s="2">
        <f>0.184412326418924*(8350/2783.333)</f>
        <v>0.55323704551270614</v>
      </c>
      <c r="P19" s="2">
        <f>0.216396112778617*(8350/2783.333)</f>
        <v>0.64918841608296618</v>
      </c>
      <c r="Q19" s="2">
        <f>0.38534641780534*(8350/2783.333)</f>
        <v>1.1560393918638499</v>
      </c>
      <c r="R19" s="2">
        <f>0.304445447842624*(8350/2783.333)</f>
        <v>0.91333645290948196</v>
      </c>
      <c r="S19" s="2">
        <f>0.0793520467534927*(8350/2783.333)</f>
        <v>0.23805616877019897</v>
      </c>
      <c r="T19" s="2">
        <f t="shared" si="0"/>
        <v>0.10069243236843764</v>
      </c>
      <c r="U19" s="2">
        <f t="shared" si="1"/>
        <v>0.11437794326585224</v>
      </c>
      <c r="V19" s="2">
        <f t="shared" si="2"/>
        <v>0.11043877033537902</v>
      </c>
      <c r="W19" s="2">
        <f t="shared" si="3"/>
        <v>0.10705744606724045</v>
      </c>
      <c r="X19" s="2">
        <f t="shared" si="4"/>
        <v>0.11728533803050227</v>
      </c>
      <c r="Y19" s="2">
        <f t="shared" si="5"/>
        <v>0.10928020503416074</v>
      </c>
      <c r="Z19" s="2">
        <f t="shared" si="6"/>
        <v>0.10579568013572224</v>
      </c>
      <c r="AA19" s="2">
        <f t="shared" si="7"/>
        <v>0.11798772791544039</v>
      </c>
      <c r="AB19" s="2">
        <f t="shared" si="8"/>
        <v>0.10026757173055721</v>
      </c>
      <c r="AC19" s="2">
        <f t="shared" si="9"/>
        <v>0.1151901624778385</v>
      </c>
      <c r="AD19" s="2">
        <f t="shared" si="10"/>
        <v>0.10227444344259566</v>
      </c>
      <c r="AE19" s="2">
        <f t="shared" si="11"/>
        <v>0.10987695088187602</v>
      </c>
      <c r="AF19" s="2">
        <f t="shared" si="12"/>
        <v>0.11908712371493149</v>
      </c>
      <c r="AG19" s="2">
        <f t="shared" si="13"/>
        <v>9.9235315312320327E-2</v>
      </c>
      <c r="AH19" s="2">
        <f t="shared" si="14"/>
        <v>0.1199891551819615</v>
      </c>
      <c r="AI19" s="2">
        <f t="shared" si="15"/>
        <v>0.10099811712417744</v>
      </c>
      <c r="AJ19" s="2">
        <f>0.105514690740283*(8350/2783.333)</f>
        <v>0.31654411013032202</v>
      </c>
      <c r="AK19" s="2">
        <f>0.213140444350079*(8350/2783.333)</f>
        <v>0.63942140962765159</v>
      </c>
      <c r="AL19" s="2">
        <f>0.242879629404057*(8350/2783.333)</f>
        <v>0.72863897547432499</v>
      </c>
      <c r="AM19" s="2">
        <f>0.32355145322427*(8350/2783.333)</f>
        <v>0.97065447591885379</v>
      </c>
      <c r="AN19" s="2">
        <f>0.491297989896023*(8350/2783.333)</f>
        <v>1.4738941462023389</v>
      </c>
      <c r="AO19" s="2">
        <f>0.351011905528608*(8350/2783.333)</f>
        <v>1.0530358426979021</v>
      </c>
      <c r="AP19" s="2">
        <f>0.342333221885727*(8350/2783.333)</f>
        <v>1.0269997886511681</v>
      </c>
      <c r="AQ19" s="2">
        <f>0.245452733881212*(8350/2783.333)</f>
        <v>0.73635828983025864</v>
      </c>
      <c r="AR19" s="2">
        <f>0.219202385888206*(8350/2783.333)</f>
        <v>0.65760723641997443</v>
      </c>
      <c r="AS19" s="2">
        <f>0.235225967097925*(8350/2783.333)</f>
        <v>0.70567798580610863</v>
      </c>
      <c r="AT19" s="2">
        <f>0.132143925883124*(8350/2783.333)</f>
        <v>0.39643182512623815</v>
      </c>
      <c r="AU19" s="2">
        <f>0.107811133772007*(8350/2783.333)</f>
        <v>0.32343344005056351</v>
      </c>
      <c r="AV19" s="2">
        <f>0.0954156457411431*(8350/2783.333)</f>
        <v>0.28624697150450373</v>
      </c>
      <c r="AW19" s="2">
        <f>0.0784939546663873*(8350/2783.333)</f>
        <v>0.23548189220058624</v>
      </c>
    </row>
    <row r="20" spans="1:49" x14ac:dyDescent="0.25">
      <c r="A20" s="5">
        <v>45642</v>
      </c>
      <c r="B20" s="2">
        <f>0.233479953780624*(8350/2783.333)</f>
        <v>0.70043994522689601</v>
      </c>
      <c r="C20" s="2">
        <f>0.240288655093702*(8350/2783.333)</f>
        <v>0.72086605161237061</v>
      </c>
      <c r="D20" s="2">
        <f>0.195215052247812*(8350/2783.333)</f>
        <v>0.58564522688058795</v>
      </c>
      <c r="E20" s="2">
        <f>0.232106557428057*(8350/2783.333)</f>
        <v>0.69631975567575732</v>
      </c>
      <c r="F20" s="2">
        <f>0.18396157097021*(8350/2783.333)</f>
        <v>0.55188477900461486</v>
      </c>
      <c r="G20" s="2">
        <f>0.217474670765487*(8350/2783.333)</f>
        <v>0.65242409043108351</v>
      </c>
      <c r="H20" s="2">
        <f>0.241613863975376*(8350/2783.333)</f>
        <v>0.72484167873351524</v>
      </c>
      <c r="I20" s="2">
        <f>0.241847327694065*(8350/2783.333)</f>
        <v>0.72554206997346204</v>
      </c>
      <c r="J20" s="2">
        <f>0.197263862349198*(8350/2783.333)</f>
        <v>0.59179165792084709</v>
      </c>
      <c r="K20" s="2">
        <f>0.259271125774507*(8350/2783.333)</f>
        <v>0.77781347047483451</v>
      </c>
      <c r="L20" s="2">
        <f>0.250464400339343*(8350/2783.333)</f>
        <v>0.75139329100525087</v>
      </c>
      <c r="M20" s="2">
        <f>0.323365647295586*(8350/2783.333)</f>
        <v>0.97009705806604762</v>
      </c>
      <c r="N20" s="2">
        <f>0.605966190645076*(8350/2783.333)</f>
        <v>1.8178987896476568</v>
      </c>
      <c r="O20" s="2">
        <f>0.537837986623013*(8350/2783.333)</f>
        <v>1.6135141531042674</v>
      </c>
      <c r="P20" s="2">
        <f>0.490124263404955*(8350/2783.333)</f>
        <v>1.4703729663074347</v>
      </c>
      <c r="Q20" s="2">
        <f>0.589575302639748*(8350/2783.333)</f>
        <v>1.768726119742732</v>
      </c>
      <c r="R20" s="2">
        <f>0.428754469333377*(8350/2783.333)</f>
        <v>1.2862635620436715</v>
      </c>
      <c r="S20" s="2">
        <f>0.174420421213502*(8350/2783.333)</f>
        <v>0.52326132630653432</v>
      </c>
      <c r="T20" s="2">
        <f t="shared" si="0"/>
        <v>0.10069243236843764</v>
      </c>
      <c r="U20" s="2">
        <f t="shared" si="1"/>
        <v>0.11437794326585224</v>
      </c>
      <c r="V20" s="2">
        <f t="shared" si="2"/>
        <v>0.11043877033537902</v>
      </c>
      <c r="W20" s="2">
        <f t="shared" si="3"/>
        <v>0.10705744606724045</v>
      </c>
      <c r="X20" s="2">
        <f t="shared" si="4"/>
        <v>0.11728533803050227</v>
      </c>
      <c r="Y20" s="2">
        <f t="shared" si="5"/>
        <v>0.10928020503416074</v>
      </c>
      <c r="Z20" s="2">
        <f t="shared" si="6"/>
        <v>0.10579568013572224</v>
      </c>
      <c r="AA20" s="2">
        <f t="shared" si="7"/>
        <v>0.11798772791544039</v>
      </c>
      <c r="AB20" s="2">
        <f t="shared" si="8"/>
        <v>0.10026757173055721</v>
      </c>
      <c r="AC20" s="2">
        <f t="shared" si="9"/>
        <v>0.1151901624778385</v>
      </c>
      <c r="AD20" s="2">
        <f t="shared" si="10"/>
        <v>0.10227444344259566</v>
      </c>
      <c r="AE20" s="2">
        <f t="shared" si="11"/>
        <v>0.10987695088187602</v>
      </c>
      <c r="AF20" s="2">
        <f t="shared" si="12"/>
        <v>0.11908712371493149</v>
      </c>
      <c r="AG20" s="2">
        <f t="shared" si="13"/>
        <v>9.9235315312320327E-2</v>
      </c>
      <c r="AH20" s="2">
        <f t="shared" si="14"/>
        <v>0.1199891551819615</v>
      </c>
      <c r="AI20" s="2">
        <f t="shared" si="15"/>
        <v>0.10099811712417744</v>
      </c>
      <c r="AJ20" s="2">
        <f>0.192837193421896*(8350/2783.333)</f>
        <v>0.57851164954851964</v>
      </c>
      <c r="AK20" s="2">
        <f>0.409493455671179*(8350/2783.333)</f>
        <v>1.2284805141369515</v>
      </c>
      <c r="AL20" s="2">
        <f>0.359289392609552*(8350/2783.333)</f>
        <v>1.0778683069146815</v>
      </c>
      <c r="AM20" s="2">
        <f>0.348668828551179*(8350/2783.333)</f>
        <v>1.0460066109237907</v>
      </c>
      <c r="AN20" s="2">
        <f>0.258071194439694*(8350/2783.333)</f>
        <v>0.7742136760392816</v>
      </c>
      <c r="AO20" s="2">
        <f>0.128346189946685*(8350/2783.333)</f>
        <v>0.38503861595246436</v>
      </c>
      <c r="AP20" s="2">
        <f>0.143596709131629*(8350/2783.333)</f>
        <v>0.43079017898652405</v>
      </c>
      <c r="AQ20" s="2">
        <f>0.166853652776393*(8350/2783.333)</f>
        <v>0.50056101827660782</v>
      </c>
      <c r="AR20" s="2">
        <f>0.262814186955382*(8350/2783.333)</f>
        <v>0.78844265529041579</v>
      </c>
      <c r="AS20" s="2">
        <f>0.140203037121935*(8350/2783.333)</f>
        <v>0.42060916173815877</v>
      </c>
      <c r="AT20" s="2">
        <f>0.227890889550301*(8350/2783.333)</f>
        <v>0.68367275052788001</v>
      </c>
      <c r="AU20" s="2">
        <f>0.122572965934635*(8350/2783.333)</f>
        <v>0.36771894184210219</v>
      </c>
      <c r="AV20" s="2">
        <f>0.0802358839186885*(8350/2783.333)</f>
        <v>0.24070768058333267</v>
      </c>
      <c r="AW20" s="2">
        <f>0.0708777095601438*(8350/2783.333)</f>
        <v>0.21263315414547984</v>
      </c>
    </row>
    <row r="21" spans="1:49" x14ac:dyDescent="0.25">
      <c r="A21" s="5">
        <v>45643</v>
      </c>
      <c r="B21" s="2">
        <f>0.220872036276471*(8350/2783.333)</f>
        <v>0.66261618818464385</v>
      </c>
      <c r="C21" s="2">
        <f>0.230196531579767*(8350/2783.333)</f>
        <v>0.69058967744465061</v>
      </c>
      <c r="D21" s="2">
        <f>0.17604563829963*(8350/2783.333)</f>
        <v>0.52813697814882687</v>
      </c>
      <c r="E21" s="2">
        <f>0.195506920628024*(8350/2783.333)</f>
        <v>0.58652083212608686</v>
      </c>
      <c r="F21" s="2">
        <f>0.168338507618175*(8350/2783.333)</f>
        <v>0.50501558333543317</v>
      </c>
      <c r="G21" s="2">
        <f>0.215579466662956*(8350/2783.333)</f>
        <v>0.64673847744257784</v>
      </c>
      <c r="H21" s="2">
        <f>0.202459048074228*(8350/2783.333)</f>
        <v>0.60737721696247138</v>
      </c>
      <c r="I21" s="2">
        <f>0.213888099058913*(8350/2783.333)</f>
        <v>0.64166437402277265</v>
      </c>
      <c r="J21" s="2">
        <f>0.161613766743921*(8350/2783.333)</f>
        <v>0.48484135829659725</v>
      </c>
      <c r="K21" s="2">
        <f>0.228368102702394*(8350/2783.333)</f>
        <v>0.68510439015561253</v>
      </c>
      <c r="L21" s="2">
        <f>0.252544669445152*(8350/2783.333)</f>
        <v>0.75763409907007884</v>
      </c>
      <c r="M21" s="2">
        <f>0.410595072587856*(8350/2783.333)</f>
        <v>1.2317853652827744</v>
      </c>
      <c r="N21" s="2">
        <f>0.503921168943467*(8350/2783.333)</f>
        <v>1.5117636878799432</v>
      </c>
      <c r="O21" s="2">
        <f>0.46873031236419*(8350/2783.333)</f>
        <v>1.4061911054986915</v>
      </c>
      <c r="P21" s="2">
        <f>0.51771261244446*(8350/2783.333)</f>
        <v>1.553138023337933</v>
      </c>
      <c r="Q21" s="2">
        <f>0.516939625354531*(8350/2783.333)</f>
        <v>1.5508190617904274</v>
      </c>
      <c r="R21" s="2">
        <f>0.453690710171343*(8350/2783.333)</f>
        <v>1.3610722935166981</v>
      </c>
      <c r="S21" s="2">
        <f>0.302154104239999*(8350/2783.333)</f>
        <v>0.90646242127836962</v>
      </c>
      <c r="T21" s="2">
        <f t="shared" si="0"/>
        <v>0.10069243236843764</v>
      </c>
      <c r="U21" s="2">
        <f t="shared" si="1"/>
        <v>0.11437794326585224</v>
      </c>
      <c r="V21" s="2">
        <f t="shared" si="2"/>
        <v>0.11043877033537902</v>
      </c>
      <c r="W21" s="2">
        <f t="shared" si="3"/>
        <v>0.10705744606724045</v>
      </c>
      <c r="X21" s="2">
        <f t="shared" si="4"/>
        <v>0.11728533803050227</v>
      </c>
      <c r="Y21" s="2">
        <f t="shared" si="5"/>
        <v>0.10928020503416074</v>
      </c>
      <c r="Z21" s="2">
        <f t="shared" si="6"/>
        <v>0.10579568013572224</v>
      </c>
      <c r="AA21" s="2">
        <f t="shared" si="7"/>
        <v>0.11798772791544039</v>
      </c>
      <c r="AB21" s="2">
        <f t="shared" si="8"/>
        <v>0.10026757173055721</v>
      </c>
      <c r="AC21" s="2">
        <f t="shared" si="9"/>
        <v>0.1151901624778385</v>
      </c>
      <c r="AD21" s="2">
        <f t="shared" si="10"/>
        <v>0.10227444344259566</v>
      </c>
      <c r="AE21" s="2">
        <f t="shared" si="11"/>
        <v>0.10987695088187602</v>
      </c>
      <c r="AF21" s="2">
        <f t="shared" si="12"/>
        <v>0.11908712371493149</v>
      </c>
      <c r="AG21" s="2">
        <f t="shared" si="13"/>
        <v>9.9235315312320327E-2</v>
      </c>
      <c r="AH21" s="2">
        <f t="shared" si="14"/>
        <v>0.1199891551819615</v>
      </c>
      <c r="AI21" s="2">
        <f t="shared" si="15"/>
        <v>0.10099811712417744</v>
      </c>
      <c r="AJ21" s="2">
        <f>0.12582930073913*(8350/2783.333)</f>
        <v>0.37748794742552771</v>
      </c>
      <c r="AK21" s="2">
        <f>0.18795929480661*(8350/2783.333)</f>
        <v>0.56387795195012336</v>
      </c>
      <c r="AL21" s="2">
        <f>0.213561614967118*(8350/2783.333)</f>
        <v>0.64068492163008683</v>
      </c>
      <c r="AM21" s="2">
        <f>0.252826212172182*(8350/2783.333)</f>
        <v>0.75847872735232236</v>
      </c>
      <c r="AN21" s="2">
        <f>0.190680762197319*(8350/2783.333)</f>
        <v>0.57204235510002255</v>
      </c>
      <c r="AO21" s="2">
        <f>0.0955134436812541*(8350/2783.333)</f>
        <v>0.28654036535997357</v>
      </c>
      <c r="AP21" s="2">
        <f>0.130436453886386*(8350/2783.333)</f>
        <v>0.39130940852256169</v>
      </c>
      <c r="AQ21" s="2">
        <f>0.194973151619928*(8350/2783.333)</f>
        <v>0.58491952491002586</v>
      </c>
      <c r="AR21" s="2">
        <f>0.235536393778534*(8350/2783.333)</f>
        <v>0.70660926595946527</v>
      </c>
      <c r="AS21" s="2">
        <f>0.147116718998361*(8350/2783.333)</f>
        <v>0.44135020985139412</v>
      </c>
      <c r="AT21" s="2">
        <f>0.189198623410826*(8350/2783.333)</f>
        <v>0.56759593820803855</v>
      </c>
      <c r="AU21" s="2">
        <f>0.113782211950148*(8350/2783.333)</f>
        <v>0.34134667673028701</v>
      </c>
      <c r="AV21" s="2">
        <f>0.120353825878033*(8350/2783.333)</f>
        <v>0.36106152087499882</v>
      </c>
      <c r="AW21" s="2">
        <f>0.0960579484828265*(8350/2783.333)</f>
        <v>0.2881738799603214</v>
      </c>
    </row>
    <row r="22" spans="1:49" x14ac:dyDescent="0.25">
      <c r="A22" s="5">
        <v>45644</v>
      </c>
      <c r="B22" s="2">
        <f>0.298387380931638*(8350/2783.333)</f>
        <v>0.89516224999997362</v>
      </c>
      <c r="C22" s="2">
        <f>0.280657149149444*(8350/2783.333)</f>
        <v>0.84197154828324849</v>
      </c>
      <c r="D22" s="2">
        <f>0.172915938063192*(8350/2783.333)</f>
        <v>0.51874787631507013</v>
      </c>
      <c r="E22" s="2">
        <f>0.183924757083709*(8350/2783.333)</f>
        <v>0.55177433733188719</v>
      </c>
      <c r="F22" s="2">
        <f>0.178493498796998*(8350/2783.333)</f>
        <v>0.53548056052040149</v>
      </c>
      <c r="G22" s="2">
        <f>0.210841456406627*(8350/2783.333)</f>
        <v>0.63252444497131211</v>
      </c>
      <c r="H22" s="2">
        <f>0.220126465005234*(8350/2783.333)</f>
        <v>0.66037947410306452</v>
      </c>
      <c r="I22" s="2">
        <f>0.216684021922429*(8350/2783.333)</f>
        <v>0.65005214361784225</v>
      </c>
      <c r="J22" s="2">
        <f>0.181815487586911*(8350/2783.333)</f>
        <v>0.54544652808367167</v>
      </c>
      <c r="K22" s="2">
        <f>0.240938823952067*(8350/2783.333)</f>
        <v>0.72281655842105852</v>
      </c>
      <c r="L22" s="2">
        <f>0.294982159203645*(8350/2783.333)</f>
        <v>0.88494658359256262</v>
      </c>
      <c r="M22" s="2">
        <f>0.438790442379297*(8350/2783.333)</f>
        <v>1.3163714847871706</v>
      </c>
      <c r="N22" s="2">
        <f>0.462157569328136*(8350/2783.333)</f>
        <v>1.3864728740290648</v>
      </c>
      <c r="O22" s="2">
        <f>0.64037274245268*(8350/2783.333)</f>
        <v>1.9211184574321063</v>
      </c>
      <c r="P22" s="2">
        <f>0.497452418618573*(8350/2783.333)</f>
        <v>1.4923574345811612</v>
      </c>
      <c r="Q22" s="2">
        <f>0.624006500313909*(8350/2783.333)</f>
        <v>1.8720197251357074</v>
      </c>
      <c r="R22" s="2">
        <f>0.445130508092638*(8350/2783.333)</f>
        <v>1.3353916842050617</v>
      </c>
      <c r="S22" s="2">
        <f>0.201076545656909*(8350/2783.333)</f>
        <v>0.60322970921380503</v>
      </c>
      <c r="T22" s="2">
        <f t="shared" si="0"/>
        <v>0.10069243236843764</v>
      </c>
      <c r="U22" s="2">
        <f t="shared" si="1"/>
        <v>0.11437794326585224</v>
      </c>
      <c r="V22" s="2">
        <f t="shared" si="2"/>
        <v>0.11043877033537902</v>
      </c>
      <c r="W22" s="2">
        <f t="shared" si="3"/>
        <v>0.10705744606724045</v>
      </c>
      <c r="X22" s="2">
        <f t="shared" si="4"/>
        <v>0.11728533803050227</v>
      </c>
      <c r="Y22" s="2">
        <f t="shared" si="5"/>
        <v>0.10928020503416074</v>
      </c>
      <c r="Z22" s="2">
        <f t="shared" si="6"/>
        <v>0.10579568013572224</v>
      </c>
      <c r="AA22" s="2">
        <f t="shared" si="7"/>
        <v>0.11798772791544039</v>
      </c>
      <c r="AB22" s="2">
        <f t="shared" si="8"/>
        <v>0.10026757173055721</v>
      </c>
      <c r="AC22" s="2">
        <f t="shared" si="9"/>
        <v>0.1151901624778385</v>
      </c>
      <c r="AD22" s="2">
        <f t="shared" si="10"/>
        <v>0.10227444344259566</v>
      </c>
      <c r="AE22" s="2">
        <f t="shared" si="11"/>
        <v>0.10987695088187602</v>
      </c>
      <c r="AF22" s="2">
        <f t="shared" si="12"/>
        <v>0.11908712371493149</v>
      </c>
      <c r="AG22" s="2">
        <f t="shared" si="13"/>
        <v>9.9235315312320327E-2</v>
      </c>
      <c r="AH22" s="2">
        <f t="shared" si="14"/>
        <v>0.1199891551819615</v>
      </c>
      <c r="AI22" s="2">
        <f t="shared" si="15"/>
        <v>0.10099811712417744</v>
      </c>
      <c r="AJ22" s="2">
        <f>0.269547586402619*(8350/2783.333)</f>
        <v>0.80864285605131192</v>
      </c>
      <c r="AK22" s="2">
        <f>0.306070877189073*(8350/2783.333)</f>
        <v>0.91821274153281607</v>
      </c>
      <c r="AL22" s="2">
        <f>0.640109981873178*(8350/2783.333)</f>
        <v>1.9203301755991964</v>
      </c>
      <c r="AM22" s="2">
        <f>0.540684553089791*(8350/2783.333)</f>
        <v>1.6220538535273192</v>
      </c>
      <c r="AN22" s="2">
        <f>0.231052910545285*(8350/2783.333)</f>
        <v>0.69315881464888751</v>
      </c>
      <c r="AO22" s="2">
        <f>0.108049583164419*(8350/2783.333)</f>
        <v>0.32414878831346994</v>
      </c>
      <c r="AP22" s="2">
        <f>0.19540480256543*(8350/2783.333)</f>
        <v>0.58621447790161552</v>
      </c>
      <c r="AQ22" s="2">
        <f>0.220382337321917*(8350/2783.333)</f>
        <v>0.66114709114504211</v>
      </c>
      <c r="AR22" s="2">
        <f>0.168240281270381*(8350/2783.333)</f>
        <v>0.50472090425676086</v>
      </c>
      <c r="AS22" s="2">
        <f>0.142614786613711*(8350/2783.333)</f>
        <v>0.42784441107998517</v>
      </c>
      <c r="AT22" s="2">
        <f>0.107715334125574*(8350/2783.333)</f>
        <v>0.32314604107684669</v>
      </c>
      <c r="AU22" s="2">
        <f>0.105157321248388*(8350/2783.333)</f>
        <v>0.31547200152624205</v>
      </c>
      <c r="AV22" s="2">
        <f>0.0878257648299158*(8350/2783.333)</f>
        <v>0.26347732604391816</v>
      </c>
      <c r="AW22" s="2">
        <f>0.0704114088393534*(8350/2783.333)</f>
        <v>0.21123425181557534</v>
      </c>
    </row>
    <row r="23" spans="1:49" x14ac:dyDescent="0.25">
      <c r="A23" s="5">
        <v>45645</v>
      </c>
      <c r="B23" s="2">
        <f>0.211999798032807*(8350/2783.333)</f>
        <v>0.63599947026602222</v>
      </c>
      <c r="C23" s="2">
        <f>0.220584985376019*(8350/2783.333)</f>
        <v>0.66175503538015645</v>
      </c>
      <c r="D23" s="2">
        <f>0.17526321324052*(8350/2783.333)</f>
        <v>0.52578970269038794</v>
      </c>
      <c r="E23" s="2">
        <f>0.307158977195213*(8350/2783.333)</f>
        <v>0.92147704194216984</v>
      </c>
      <c r="F23" s="2">
        <f>0.330818366479337*(8350/2783.333)</f>
        <v>0.99245521829492334</v>
      </c>
      <c r="G23" s="2">
        <f>0.367195794865474*(8350/2783.333)</f>
        <v>1.1015875165230717</v>
      </c>
      <c r="H23" s="2">
        <f>0.357645818414144*(8350/2783.333)</f>
        <v>1.0729375837379502</v>
      </c>
      <c r="I23" s="2">
        <f>0.305687566410996*(8350/2783.333)</f>
        <v>0.91706280906086923</v>
      </c>
      <c r="J23" s="2">
        <f>0.177062141506208*(8350/2783.333)</f>
        <v>0.53118648813377189</v>
      </c>
      <c r="K23" s="2">
        <f>0.234653463327231*(8350/2783.333)</f>
        <v>0.70396047428833541</v>
      </c>
      <c r="L23" s="2">
        <f>0.235902516598684*(8350/2783.333)</f>
        <v>0.70770763455145702</v>
      </c>
      <c r="M23" s="2">
        <f>0.2722615395486*(8350/2783.333)</f>
        <v>0.81678471646432926</v>
      </c>
      <c r="N23" s="2">
        <f>0.65442772604777*(8350/2783.333)</f>
        <v>1.9632834132670725</v>
      </c>
      <c r="O23" s="2">
        <f>0.506288830983116*(8350/2783.333)</f>
        <v>1.5188666748495481</v>
      </c>
      <c r="P23" s="2">
        <f>0.543576689668996*(8350/2783.333)</f>
        <v>1.6307302643040242</v>
      </c>
      <c r="Q23" s="2">
        <f>0.925397395023349*(8350/2783.333)</f>
        <v>2.7761925175481923</v>
      </c>
      <c r="R23" s="2">
        <f>0.460762181453751*(8350/2783.333)</f>
        <v>1.3822867099045706</v>
      </c>
      <c r="S23" s="2">
        <f>0.230814302983946*(8350/2783.333)</f>
        <v>0.69244299187914182</v>
      </c>
      <c r="T23" s="2">
        <f t="shared" si="0"/>
        <v>0.10069243236843764</v>
      </c>
      <c r="U23" s="2">
        <f t="shared" si="1"/>
        <v>0.11437794326585224</v>
      </c>
      <c r="V23" s="2">
        <f t="shared" si="2"/>
        <v>0.11043877033537902</v>
      </c>
      <c r="W23" s="2">
        <f t="shared" si="3"/>
        <v>0.10705744606724045</v>
      </c>
      <c r="X23" s="2">
        <f t="shared" si="4"/>
        <v>0.11728533803050227</v>
      </c>
      <c r="Y23" s="2">
        <f t="shared" si="5"/>
        <v>0.10928020503416074</v>
      </c>
      <c r="Z23" s="2">
        <f t="shared" si="6"/>
        <v>0.10579568013572224</v>
      </c>
      <c r="AA23" s="2">
        <f t="shared" si="7"/>
        <v>0.11798772791544039</v>
      </c>
      <c r="AB23" s="2">
        <f t="shared" si="8"/>
        <v>0.10026757173055721</v>
      </c>
      <c r="AC23" s="2">
        <f t="shared" si="9"/>
        <v>0.1151901624778385</v>
      </c>
      <c r="AD23" s="2">
        <f t="shared" si="10"/>
        <v>0.10227444344259566</v>
      </c>
      <c r="AE23" s="2">
        <f t="shared" si="11"/>
        <v>0.10987695088187602</v>
      </c>
      <c r="AF23" s="2">
        <f t="shared" si="12"/>
        <v>0.11908712371493149</v>
      </c>
      <c r="AG23" s="2">
        <f t="shared" si="13"/>
        <v>9.9235315312320327E-2</v>
      </c>
      <c r="AH23" s="2">
        <f t="shared" si="14"/>
        <v>0.1199891551819615</v>
      </c>
      <c r="AI23" s="2">
        <f t="shared" si="15"/>
        <v>0.10099811712417744</v>
      </c>
      <c r="AJ23" s="2">
        <f>0.204055709391409*(8350/2783.333)</f>
        <v>0.61216720148766346</v>
      </c>
      <c r="AK23" s="2">
        <f>0.493430620816077*(8350/2783.333)</f>
        <v>1.4802920397287134</v>
      </c>
      <c r="AL23" s="2">
        <f>0.341756070250206*(8350/2783.333)</f>
        <v>1.0252683335372454</v>
      </c>
      <c r="AM23" s="2">
        <f>0.453104231226224*(8350/2783.333)</f>
        <v>1.359312856470632</v>
      </c>
      <c r="AN23" s="2">
        <f>0.295027237927447*(8350/2783.333)</f>
        <v>0.88508181978016487</v>
      </c>
      <c r="AO23" s="2">
        <f>0.127749230923677*(8350/2783.333)</f>
        <v>0.38324773866896467</v>
      </c>
      <c r="AP23" s="2">
        <f>0.133601578565622*(8350/2783.333)</f>
        <v>0.40080478369743888</v>
      </c>
      <c r="AQ23" s="2">
        <f>0.135007473363234*(8350/2783.333)</f>
        <v>0.40502246859538715</v>
      </c>
      <c r="AR23" s="2">
        <f>0.208585280759492*(8350/2783.333)</f>
        <v>0.62575591721930468</v>
      </c>
      <c r="AS23" s="2">
        <f>0.162391132446278*(8350/2783.333)</f>
        <v>0.48717345568295922</v>
      </c>
      <c r="AT23" s="2">
        <f>0.222480530301985*(8350/2783.333)</f>
        <v>0.66744167083908867</v>
      </c>
      <c r="AU23" s="2">
        <f>0.282631033765384*(8350/2783.333)</f>
        <v>0.84789320284024705</v>
      </c>
      <c r="AV23" s="2">
        <f>0.0890649290603202*(8350/2783.333)</f>
        <v>0.26719481918034027</v>
      </c>
      <c r="AW23" s="2">
        <f>0.0941927455996648*(8350/2783.333)</f>
        <v>0.28257827064070351</v>
      </c>
    </row>
    <row r="24" spans="1:49" x14ac:dyDescent="0.25">
      <c r="A24" s="5">
        <v>45646</v>
      </c>
      <c r="B24" s="2">
        <f>0.227409474982328*(8350/2783.333)</f>
        <v>0.6822285066509971</v>
      </c>
      <c r="C24" s="2">
        <f>0.217701521514894*(8350/2783.333)</f>
        <v>0.65310464276080815</v>
      </c>
      <c r="D24" s="2">
        <f>0.170568662885864*(8350/2783.333)</f>
        <v>0.51170604993975222</v>
      </c>
      <c r="E24" s="2">
        <f>0.206162511088793*(8350/2783.333)</f>
        <v>0.61848760733675023</v>
      </c>
      <c r="F24" s="2">
        <f>0.17068196712098*(8350/2783.333)</f>
        <v>0.51204596268581037</v>
      </c>
      <c r="G24" s="2">
        <f>0.20799865025283*(8350/2783.333)</f>
        <v>0.62399602548855293</v>
      </c>
      <c r="H24" s="2">
        <f>0.212009003172069*(8350/2783.333)</f>
        <v>0.63602708568711608</v>
      </c>
      <c r="I24" s="2">
        <f>0.203636381892691*(8350/2783.333)</f>
        <v>0.6109092188408537</v>
      </c>
      <c r="J24" s="2">
        <f>0.175081580639248*(8350/2783.333)</f>
        <v>0.52524480482131375</v>
      </c>
      <c r="K24" s="2">
        <f>0.229939442858603*(8350/2783.333)</f>
        <v>0.68981841118879295</v>
      </c>
      <c r="L24" s="2">
        <f>0.216764040825246*(8350/2783.333)</f>
        <v>0.65029220035504287</v>
      </c>
      <c r="M24" s="2">
        <f>0.339225542803272*(8350/2783.333)</f>
        <v>1.0176767502872703</v>
      </c>
      <c r="N24" s="2">
        <f>0.203302050957646*(8350/2783.333)</f>
        <v>0.60990622591559884</v>
      </c>
      <c r="O24" s="2">
        <f>0.280562134083373*(8350/2783.333)</f>
        <v>0.84168650305089898</v>
      </c>
      <c r="P24" s="2">
        <f>0.273728150626338*(8350/2783.333)</f>
        <v>0.82118455022446901</v>
      </c>
      <c r="Q24" s="2">
        <f>0.45892541557478*(8350/2783.333)</f>
        <v>1.3767764116077426</v>
      </c>
      <c r="R24" s="2">
        <f>0.668067944838031*(8350/2783.333)</f>
        <v>2.0042040745385332</v>
      </c>
      <c r="S24" s="2">
        <f>0.25223165152518*(8350/2783.333)</f>
        <v>0.75669504519770014</v>
      </c>
      <c r="T24" s="2">
        <f t="shared" si="0"/>
        <v>0.10069243236843764</v>
      </c>
      <c r="U24" s="2">
        <f t="shared" si="1"/>
        <v>0.11437794326585224</v>
      </c>
      <c r="V24" s="2">
        <f t="shared" si="2"/>
        <v>0.11043877033537902</v>
      </c>
      <c r="W24" s="2">
        <f t="shared" si="3"/>
        <v>0.10705744606724045</v>
      </c>
      <c r="X24" s="2">
        <f t="shared" si="4"/>
        <v>0.11728533803050227</v>
      </c>
      <c r="Y24" s="2">
        <f t="shared" si="5"/>
        <v>0.10928020503416074</v>
      </c>
      <c r="Z24" s="2">
        <f t="shared" si="6"/>
        <v>0.10579568013572224</v>
      </c>
      <c r="AA24" s="2">
        <f t="shared" si="7"/>
        <v>0.11798772791544039</v>
      </c>
      <c r="AB24" s="2">
        <f t="shared" si="8"/>
        <v>0.10026757173055721</v>
      </c>
      <c r="AC24" s="2">
        <f t="shared" si="9"/>
        <v>0.1151901624778385</v>
      </c>
      <c r="AD24" s="2">
        <f t="shared" si="10"/>
        <v>0.10227444344259566</v>
      </c>
      <c r="AE24" s="2">
        <f t="shared" si="11"/>
        <v>0.10987695088187602</v>
      </c>
      <c r="AF24" s="2">
        <f t="shared" si="12"/>
        <v>0.11908712371493149</v>
      </c>
      <c r="AG24" s="2">
        <f t="shared" si="13"/>
        <v>9.9235315312320327E-2</v>
      </c>
      <c r="AH24" s="2">
        <f t="shared" si="14"/>
        <v>0.1199891551819615</v>
      </c>
      <c r="AI24" s="2">
        <f t="shared" si="15"/>
        <v>0.10099811712417744</v>
      </c>
      <c r="AJ24" s="2">
        <f>0.203600904689942*(8350/2783.333)</f>
        <v>0.61080278721986037</v>
      </c>
      <c r="AK24" s="2">
        <f>0.440070565831106*(8350/2783.333)</f>
        <v>1.320211855602522</v>
      </c>
      <c r="AL24" s="2">
        <f>0.327959357573999*(8350/2783.333)</f>
        <v>0.98387819055172099</v>
      </c>
      <c r="AM24" s="2">
        <f>0.502347506538192*(8350/2783.333)</f>
        <v>1.5070427000987319</v>
      </c>
      <c r="AN24" s="2">
        <f>0.36055434024607*(8350/2783.333)</f>
        <v>1.0816631502787073</v>
      </c>
      <c r="AO24" s="2">
        <f>0.201772149776649*(8350/2783.333)</f>
        <v>0.60531652182294393</v>
      </c>
      <c r="AP24" s="2">
        <f>0.187075527093757*(8350/2783.333)</f>
        <v>0.56122664849404447</v>
      </c>
      <c r="AQ24" s="2">
        <f>0.172613068202178*(8350/2783.333)</f>
        <v>0.51783926662321145</v>
      </c>
      <c r="AR24" s="2">
        <f>0.260364085771833*(8350/2783.333)</f>
        <v>0.78109235085949247</v>
      </c>
      <c r="AS24" s="2">
        <f>0.23570831699628*(8350/2783.333)</f>
        <v>0.70712503567447393</v>
      </c>
      <c r="AT24" s="2">
        <f>0.241990613651975*(8350/2783.333)</f>
        <v>0.72597192789866993</v>
      </c>
      <c r="AU24" s="2">
        <f>0.167024325705247*(8350/2783.333)</f>
        <v>0.50107303712448825</v>
      </c>
      <c r="AV24" s="2">
        <f>0.140954931208507*(8350/2783.333)</f>
        <v>0.42286484426801707</v>
      </c>
      <c r="AW24" s="2">
        <f>0.110046970106539*(8350/2783.333)</f>
        <v>0.33014094985745529</v>
      </c>
    </row>
    <row r="25" spans="1:49" x14ac:dyDescent="0.25">
      <c r="A25" s="5">
        <v>45647</v>
      </c>
      <c r="B25" s="2">
        <f>0.291382982318219*(8350/2783.333)</f>
        <v>0.87414905164316636</v>
      </c>
      <c r="C25" s="2">
        <f>0.28690465418188*(8350/2783.333)</f>
        <v>0.86071406562517028</v>
      </c>
      <c r="D25" s="2">
        <f>0.237466005439723*(8350/2783.333)</f>
        <v>0.7123981016363069</v>
      </c>
      <c r="E25" s="2">
        <f>0.275655492354678*(8350/2783.333)</f>
        <v>0.82696657610194635</v>
      </c>
      <c r="F25" s="2">
        <f>0.229659031274912*(8350/2783.333)</f>
        <v>0.68897717633697175</v>
      </c>
      <c r="G25" s="2">
        <f>0.275278395892697*(8350/2783.333)</f>
        <v>0.82583528658052197</v>
      </c>
      <c r="H25" s="2">
        <f>0.277903693347172*(8350/2783.333)</f>
        <v>0.83371117988716636</v>
      </c>
      <c r="I25" s="2">
        <f>0.27446642776841*(8350/2783.333)</f>
        <v>0.82339938191593331</v>
      </c>
      <c r="J25" s="2">
        <f>0.228952836220555*(8350/2783.333)</f>
        <v>0.68685859092017953</v>
      </c>
      <c r="K25" s="2">
        <f>0.30798267061699*(8350/2783.333)</f>
        <v>0.92394812250344005</v>
      </c>
      <c r="L25" s="2">
        <f>0.292901890097837*(8350/2783.333)</f>
        <v>0.87870577552773499</v>
      </c>
      <c r="M25" s="2">
        <f>0.307505751787901*(8350/2783.333)</f>
        <v>0.92251736584482469</v>
      </c>
      <c r="N25" s="2">
        <f>0.267523435271786*(8350/2783.333)</f>
        <v>0.80257040193157281</v>
      </c>
      <c r="O25" s="2">
        <f>0.20694743759028*(8350/2783.333)</f>
        <v>0.62084238712322048</v>
      </c>
      <c r="P25" s="2">
        <f>0.597891251840521*(8350/2783.333)</f>
        <v>1.7936739703328171</v>
      </c>
      <c r="Q25" s="2">
        <f>0.71598024752571*(8350/2783.333)</f>
        <v>2.1479409998155736</v>
      </c>
      <c r="R25" s="2">
        <f>0.57018389498154*(8350/2783.333)</f>
        <v>1.7105518898011327</v>
      </c>
      <c r="S25" s="2">
        <f>0.219104098026149*(8350/2783.333)</f>
        <v>0.65731237279849142</v>
      </c>
      <c r="T25" s="2">
        <f t="shared" si="0"/>
        <v>0.10069243236843764</v>
      </c>
      <c r="U25" s="2">
        <f t="shared" si="1"/>
        <v>0.11437794326585224</v>
      </c>
      <c r="V25" s="2">
        <f t="shared" si="2"/>
        <v>0.11043877033537902</v>
      </c>
      <c r="W25" s="2">
        <f t="shared" si="3"/>
        <v>0.10705744606724045</v>
      </c>
      <c r="X25" s="2">
        <f t="shared" si="4"/>
        <v>0.11728533803050227</v>
      </c>
      <c r="Y25" s="2">
        <f t="shared" si="5"/>
        <v>0.10928020503416074</v>
      </c>
      <c r="Z25" s="2">
        <f t="shared" si="6"/>
        <v>0.10579568013572224</v>
      </c>
      <c r="AA25" s="2">
        <f t="shared" si="7"/>
        <v>0.11798772791544039</v>
      </c>
      <c r="AB25" s="2">
        <f t="shared" si="8"/>
        <v>0.10026757173055721</v>
      </c>
      <c r="AC25" s="2">
        <f t="shared" si="9"/>
        <v>0.1151901624778385</v>
      </c>
      <c r="AD25" s="2">
        <f t="shared" si="10"/>
        <v>0.10227444344259566</v>
      </c>
      <c r="AE25" s="2">
        <f t="shared" si="11"/>
        <v>0.10987695088187602</v>
      </c>
      <c r="AF25" s="2">
        <f t="shared" si="12"/>
        <v>0.11908712371493149</v>
      </c>
      <c r="AG25" s="2">
        <f t="shared" si="13"/>
        <v>9.9235315312320327E-2</v>
      </c>
      <c r="AH25" s="2">
        <f t="shared" si="14"/>
        <v>0.1199891551819615</v>
      </c>
      <c r="AI25" s="2">
        <f t="shared" si="15"/>
        <v>0.10099811712417744</v>
      </c>
      <c r="AJ25" s="2">
        <f>0.142353871559088*(8350/2783.333)</f>
        <v>0.42706166582237431</v>
      </c>
      <c r="AK25" s="2">
        <f>0.285386361492652*(8350/2783.333)</f>
        <v>0.85615918701198934</v>
      </c>
      <c r="AL25" s="2">
        <f>0.298353911622972*(8350/2783.333)</f>
        <v>0.89506184206195094</v>
      </c>
      <c r="AM25" s="2">
        <f>0.34503341896439*(8350/2783.333)</f>
        <v>1.035100380857287</v>
      </c>
      <c r="AN25" s="2">
        <f>0.293474462990987*(8350/2783.333)</f>
        <v>0.88042349441290091</v>
      </c>
      <c r="AO25" s="2">
        <f>0.131480224817476*(8350/2783.333)</f>
        <v>0.39444072169083838</v>
      </c>
      <c r="AP25" s="2">
        <f>0.174914784905116*(8350/2783.333)</f>
        <v>0.52474441755899082</v>
      </c>
      <c r="AQ25" s="2">
        <f>0.179727640198734*(8350/2783.333)</f>
        <v>0.53918298516901608</v>
      </c>
      <c r="AR25" s="2">
        <f>0.155826435273732*(8350/2783.333)</f>
        <v>0.46747936180674771</v>
      </c>
      <c r="AS25" s="2">
        <f>0.173645963407901*(8350/2783.333)</f>
        <v>0.52093795261148146</v>
      </c>
      <c r="AT25" s="2">
        <f>0.283470034555735*(8350/2783.333)</f>
        <v>0.85041020551273738</v>
      </c>
      <c r="AU25" s="2">
        <f>0.17166849762158*(8350/2783.333)</f>
        <v>0.51500555454205132</v>
      </c>
      <c r="AV25" s="2">
        <f>0.20864427729435*(8350/2783.333)</f>
        <v>0.62593290684507574</v>
      </c>
      <c r="AW25" s="2">
        <f>0.1070937322082*(8350/2783.333)</f>
        <v>0.32128123510139373</v>
      </c>
    </row>
    <row r="26" spans="1:49" x14ac:dyDescent="0.25">
      <c r="A26" s="5">
        <v>45648</v>
      </c>
      <c r="B26" s="2">
        <f>0.293250821948464*(8350/2783.333)</f>
        <v>0.87975257120498163</v>
      </c>
      <c r="C26" s="2">
        <f>0.293632736524504*(8350/2783.333)</f>
        <v>0.88089831507031691</v>
      </c>
      <c r="D26" s="2">
        <f>0.251549656503693*(8350/2783.333)</f>
        <v>0.75464905988821307</v>
      </c>
      <c r="E26" s="2">
        <f>0.302526111777487*(8350/2783.333)</f>
        <v>0.90757844402448928</v>
      </c>
      <c r="F26" s="2">
        <f>0.242938635124141*(8350/2783.333)</f>
        <v>0.72881599265577623</v>
      </c>
      <c r="G26" s="2">
        <f>0.314603881020226*(8350/2783.333)</f>
        <v>0.94381175609202506</v>
      </c>
      <c r="H26" s="2">
        <f>0.315626015983644*(8350/2783.333)</f>
        <v>0.94687816134951297</v>
      </c>
      <c r="I26" s="2">
        <f>0.301027694971804*(8350/2783.333)</f>
        <v>0.9030831930690878</v>
      </c>
      <c r="J26" s="2">
        <f>0.257472912704777*(8350/2783.333)</f>
        <v>0.77241883061957906</v>
      </c>
      <c r="K26" s="2">
        <f>0.338361913637033*(8350/2783.333)</f>
        <v>1.015085862478269</v>
      </c>
      <c r="L26" s="2">
        <f>0.324938034327288*(8350/2783.333)</f>
        <v>0.97481421972608095</v>
      </c>
      <c r="M26" s="2">
        <f>0.331295595049429*(8350/2783.333)</f>
        <v>0.99388690417665915</v>
      </c>
      <c r="N26" s="2">
        <f>0.263189476821138*(8350/2783.333)</f>
        <v>0.78956852502251906</v>
      </c>
      <c r="O26" s="2">
        <f>0.306101926744243*(8350/2783.333)</f>
        <v>0.91830589020948139</v>
      </c>
      <c r="P26" s="2">
        <f>0.338388343687678*(8350/2783.333)</f>
        <v>1.0151651526396981</v>
      </c>
      <c r="Q26" s="2">
        <f>0.597121866513537*(8350/2783.333)</f>
        <v>1.7913658140754392</v>
      </c>
      <c r="R26" s="2">
        <f>0.547852933037093*(8350/2783.333)</f>
        <v>1.6435589959446915</v>
      </c>
      <c r="S26" s="2">
        <f>0.137748989898296*(8350/2783.333)</f>
        <v>0.41324701918554924</v>
      </c>
      <c r="T26" s="2">
        <f t="shared" si="0"/>
        <v>0.10069243236843764</v>
      </c>
      <c r="U26" s="2">
        <f t="shared" si="1"/>
        <v>0.11437794326585224</v>
      </c>
      <c r="V26" s="2">
        <f t="shared" si="2"/>
        <v>0.11043877033537902</v>
      </c>
      <c r="W26" s="2">
        <f t="shared" si="3"/>
        <v>0.10705744606724045</v>
      </c>
      <c r="X26" s="2">
        <f t="shared" si="4"/>
        <v>0.11728533803050227</v>
      </c>
      <c r="Y26" s="2">
        <f t="shared" si="5"/>
        <v>0.10928020503416074</v>
      </c>
      <c r="Z26" s="2">
        <f t="shared" si="6"/>
        <v>0.10579568013572224</v>
      </c>
      <c r="AA26" s="2">
        <f t="shared" si="7"/>
        <v>0.11798772791544039</v>
      </c>
      <c r="AB26" s="2">
        <f t="shared" si="8"/>
        <v>0.10026757173055721</v>
      </c>
      <c r="AC26" s="2">
        <f t="shared" si="9"/>
        <v>0.1151901624778385</v>
      </c>
      <c r="AD26" s="2">
        <f t="shared" si="10"/>
        <v>0.10227444344259566</v>
      </c>
      <c r="AE26" s="2">
        <f t="shared" si="11"/>
        <v>0.10987695088187602</v>
      </c>
      <c r="AF26" s="2">
        <f t="shared" si="12"/>
        <v>0.11908712371493149</v>
      </c>
      <c r="AG26" s="2">
        <f t="shared" si="13"/>
        <v>9.9235315312320327E-2</v>
      </c>
      <c r="AH26" s="2">
        <f t="shared" si="14"/>
        <v>0.1199891551819615</v>
      </c>
      <c r="AI26" s="2">
        <f t="shared" si="15"/>
        <v>0.10099811712417744</v>
      </c>
      <c r="AJ26" s="2">
        <f>0.2228543037187*(8350/2783.333)</f>
        <v>0.66856299122352536</v>
      </c>
      <c r="AK26" s="2">
        <f>0.387609837615545*(8350/2783.333)</f>
        <v>1.1628296521076709</v>
      </c>
      <c r="AL26" s="2">
        <f>0.278808568665013*(8350/2783.333)</f>
        <v>0.83642580616579298</v>
      </c>
      <c r="AM26" s="2">
        <f>0.450790788761904*(8350/2783.333)</f>
        <v>1.3523725282464938</v>
      </c>
      <c r="AN26" s="2">
        <f>0.376392644597965*(8350/2783.333)</f>
        <v>1.1291780690248006</v>
      </c>
      <c r="AO26" s="2">
        <f>0.158641860364333*(8350/2783.333)</f>
        <v>0.47592563809008082</v>
      </c>
      <c r="AP26" s="2">
        <f>0.21572823471631*(8350/2783.333)</f>
        <v>0.64718478165608895</v>
      </c>
      <c r="AQ26" s="2">
        <f>0.163465761349462*(8350/2783.333)</f>
        <v>0.49039734277860553</v>
      </c>
      <c r="AR26" s="2">
        <f>0.169220321743801*(8350/2783.333)</f>
        <v>0.50766102602913066</v>
      </c>
      <c r="AS26" s="2">
        <f>0.272366909271281*(8350/2783.333)</f>
        <v>0.81710082567023079</v>
      </c>
      <c r="AT26" s="2">
        <f>0.191821827894858*(8350/2783.333)</f>
        <v>0.57546555260260401</v>
      </c>
      <c r="AU26" s="2">
        <f>0.239174853691129*(8350/2783.333)</f>
        <v>0.71752464700448126</v>
      </c>
      <c r="AV26" s="2">
        <f>0.141574513323709*(8350/2783.333)</f>
        <v>0.42472359083622768</v>
      </c>
      <c r="AW26" s="2">
        <f>0.123880558156655*(8350/2783.333)</f>
        <v>0.37164171897795467</v>
      </c>
    </row>
    <row r="27" spans="1:49" x14ac:dyDescent="0.25">
      <c r="A27" s="5">
        <v>45649</v>
      </c>
      <c r="B27" s="2">
        <f>0.354422569838988*(8350/2783.333)</f>
        <v>1.0632678368544286</v>
      </c>
      <c r="C27" s="2">
        <f>0.311414097001438*(8350/2783.333)</f>
        <v>0.93424240288963223</v>
      </c>
      <c r="D27" s="2">
        <f>0.242551768323934*(8350/2783.333)</f>
        <v>0.72765539211616181</v>
      </c>
      <c r="E27" s="2">
        <f>0.280288357772404*(8350/2783.333)</f>
        <v>0.84086517401962679</v>
      </c>
      <c r="F27" s="2">
        <f>0.239814022453734*(8350/2783.333)</f>
        <v>0.71944215352193985</v>
      </c>
      <c r="G27" s="2">
        <f>0.271487987687634*(8350/2783.333)</f>
        <v>0.81446406060350951</v>
      </c>
      <c r="H27" s="2">
        <f>0.283156168650984*(8350/2783.333)</f>
        <v>0.84946860768572086</v>
      </c>
      <c r="I27" s="2">
        <f>0.254428980579884*(8350/2783.333)</f>
        <v>0.76328703315127211</v>
      </c>
      <c r="J27" s="2">
        <f>0.252323454450681*(8350/2783.333)</f>
        <v>0.75697045400718688</v>
      </c>
      <c r="K27" s="2">
        <f>0.316363151450106*(8350/2783.333)</f>
        <v>0.94908956801373801</v>
      </c>
      <c r="L27" s="2">
        <f>0.317449065546377*(8350/2783.333)</f>
        <v>0.9523473106927014</v>
      </c>
      <c r="M27" s="2">
        <f>0.309267962399866*(8350/2783.333)</f>
        <v>0.92780399831384919</v>
      </c>
      <c r="N27" s="2">
        <f>0.247429627909693*(8350/2783.333)</f>
        <v>0.74228897262596161</v>
      </c>
      <c r="O27" s="2">
        <f>0.250139734002044*(8350/2783.333)</f>
        <v>0.75041929187670564</v>
      </c>
      <c r="P27" s="2">
        <f>0.35606212979111*(8350/2783.333)</f>
        <v>1.0681865172998599</v>
      </c>
      <c r="Q27" s="2">
        <f>0.624949820798133*(8350/2783.333)</f>
        <v>1.8748496869272959</v>
      </c>
      <c r="R27" s="2">
        <f>0.502818826449125*(8350/2783.333)</f>
        <v>1.5084566600008682</v>
      </c>
      <c r="S27" s="2">
        <f>0.174882666146047*(8350/2783.333)</f>
        <v>0.5246480612702441</v>
      </c>
      <c r="T27" s="2">
        <f t="shared" si="0"/>
        <v>0.10069243236843764</v>
      </c>
      <c r="U27" s="2">
        <f t="shared" si="1"/>
        <v>0.11437794326585224</v>
      </c>
      <c r="V27" s="2">
        <f t="shared" si="2"/>
        <v>0.11043877033537902</v>
      </c>
      <c r="W27" s="2">
        <f t="shared" si="3"/>
        <v>0.10705744606724045</v>
      </c>
      <c r="X27" s="2">
        <f t="shared" si="4"/>
        <v>0.11728533803050227</v>
      </c>
      <c r="Y27" s="2">
        <f t="shared" si="5"/>
        <v>0.10928020503416074</v>
      </c>
      <c r="Z27" s="2">
        <f t="shared" si="6"/>
        <v>0.10579568013572224</v>
      </c>
      <c r="AA27" s="2">
        <f t="shared" si="7"/>
        <v>0.11798772791544039</v>
      </c>
      <c r="AB27" s="2">
        <f t="shared" si="8"/>
        <v>0.10026757173055721</v>
      </c>
      <c r="AC27" s="2">
        <f t="shared" si="9"/>
        <v>0.1151901624778385</v>
      </c>
      <c r="AD27" s="2">
        <f t="shared" si="10"/>
        <v>0.10227444344259566</v>
      </c>
      <c r="AE27" s="2">
        <f t="shared" si="11"/>
        <v>0.10987695088187602</v>
      </c>
      <c r="AF27" s="2">
        <f t="shared" si="12"/>
        <v>0.11908712371493149</v>
      </c>
      <c r="AG27" s="2">
        <f t="shared" si="13"/>
        <v>9.9235315312320327E-2</v>
      </c>
      <c r="AH27" s="2">
        <f t="shared" si="14"/>
        <v>0.1199891551819615</v>
      </c>
      <c r="AI27" s="2">
        <f t="shared" si="15"/>
        <v>0.10099811712417744</v>
      </c>
      <c r="AJ27" s="2">
        <f>0.184650708795495*(8350/2783.333)</f>
        <v>0.55395219272806351</v>
      </c>
      <c r="AK27" s="2">
        <f>0.425081786340946*(8350/2783.333)</f>
        <v>1.2752455117468502</v>
      </c>
      <c r="AL27" s="2">
        <f>0.276509116552311*(8350/2783.333)</f>
        <v>0.82952744900153907</v>
      </c>
      <c r="AM27" s="2">
        <f>0.318924568295628*(8350/2783.333)</f>
        <v>0.95677381947057605</v>
      </c>
      <c r="AN27" s="2">
        <f>0.331983281415201*(8350/2783.333)</f>
        <v>0.99594996352104892</v>
      </c>
      <c r="AO27" s="2">
        <f>0.149239755751959*(8350/2783.333)</f>
        <v>0.44771932087495858</v>
      </c>
      <c r="AP27" s="2">
        <f>0.166752094942877*(8350/2783.333)</f>
        <v>0.50025634473957115</v>
      </c>
      <c r="AQ27" s="2">
        <f>0.16803941477582*(8350/2783.333)</f>
        <v>0.50411830470090879</v>
      </c>
      <c r="AR27" s="2">
        <f>0.136552305963144*(8350/2783.333)</f>
        <v>0.40965696695014781</v>
      </c>
      <c r="AS27" s="2">
        <f>0.186508627364042*(8350/2783.333)</f>
        <v>0.55952594910122055</v>
      </c>
      <c r="AT27" s="2">
        <f>0.244285917575503*(8350/2783.333)</f>
        <v>0.73285784049391411</v>
      </c>
      <c r="AU27" s="2">
        <f>0.197874896292314*(8350/2783.333)</f>
        <v>0.5936247599697273</v>
      </c>
      <c r="AV27" s="2">
        <f>0.181537559754253*(8350/2783.333)</f>
        <v>0.54461274448584129</v>
      </c>
      <c r="AW27" s="2">
        <f>0.0830015283006947*(8350/2783.333)</f>
        <v>0.24900461472299615</v>
      </c>
    </row>
    <row r="28" spans="1:49" x14ac:dyDescent="0.25">
      <c r="A28" s="5">
        <v>45650</v>
      </c>
      <c r="B28" s="2">
        <f>0.230211234427696*(8350/2783.333)</f>
        <v>0.69063378599371983</v>
      </c>
      <c r="C28" s="2">
        <f>0.217701521514894*(8350/2783.333)</f>
        <v>0.65310464276080815</v>
      </c>
      <c r="D28" s="2">
        <f>0.221035079198424*(8350/2783.333)</f>
        <v>0.66310531700908293</v>
      </c>
      <c r="E28" s="2">
        <f>0.238592569012872*(8350/2783.333)</f>
        <v>0.71577779276050824</v>
      </c>
      <c r="F28" s="2">
        <f>0.203099823576453*(8350/2783.333)</f>
        <v>0.60929954369936301</v>
      </c>
      <c r="G28" s="2">
        <f>0.242112324098397*(8350/2783.333)</f>
        <v>0.72633705928166392</v>
      </c>
      <c r="H28" s="2">
        <f>0.225856438063939*(8350/2783.333)</f>
        <v>0.67756939533785143</v>
      </c>
      <c r="I28" s="2">
        <f>0.225071790512974*(8350/2783.333)</f>
        <v>0.6752154524030487</v>
      </c>
      <c r="J28" s="2">
        <f>0.197263862349198*(8350/2783.333)</f>
        <v>0.59179165792084709</v>
      </c>
      <c r="K28" s="2">
        <f>0.252985765149671*(8350/2783.333)</f>
        <v>0.75895738634211185</v>
      </c>
      <c r="L28" s="2">
        <f>0.230909870744744*(8350/2783.333)</f>
        <v>0.69272969519587091</v>
      </c>
      <c r="M28" s="2">
        <f>0.225562958331526*(8350/2783.333)</f>
        <v>0.67668895603517243</v>
      </c>
      <c r="N28" s="2">
        <f>0.195028130279137*(8350/2783.333)</f>
        <v>0.58508446090740573</v>
      </c>
      <c r="O28" s="2">
        <f>0.189294933839385*(8350/2783.333)</f>
        <v>0.56788486952831774</v>
      </c>
      <c r="P28" s="2">
        <f>0.213809705056163*(8350/2783.333)</f>
        <v>0.64142919198635662</v>
      </c>
      <c r="Q28" s="2">
        <f>0.260828113887825*(8350/2783.333)</f>
        <v>0.78248443537418488</v>
      </c>
      <c r="R28" s="2">
        <f>0.405306959291708*(8350/2783.333)</f>
        <v>1.2159210234944087</v>
      </c>
      <c r="S28" s="2">
        <f>0.270105122250238*(8350/2783.333)</f>
        <v>0.81031546379448272</v>
      </c>
      <c r="T28" s="2">
        <f t="shared" si="0"/>
        <v>0.10069243236843764</v>
      </c>
      <c r="U28" s="2">
        <f t="shared" si="1"/>
        <v>0.11437794326585224</v>
      </c>
      <c r="V28" s="2">
        <f t="shared" si="2"/>
        <v>0.11043877033537902</v>
      </c>
      <c r="W28" s="2">
        <f t="shared" si="3"/>
        <v>0.10705744606724045</v>
      </c>
      <c r="X28" s="2">
        <f t="shared" si="4"/>
        <v>0.11728533803050227</v>
      </c>
      <c r="Y28" s="2">
        <f t="shared" si="5"/>
        <v>0.10928020503416074</v>
      </c>
      <c r="Z28" s="2">
        <f t="shared" si="6"/>
        <v>0.10579568013572224</v>
      </c>
      <c r="AA28" s="2">
        <f t="shared" si="7"/>
        <v>0.11798772791544039</v>
      </c>
      <c r="AB28" s="2">
        <f t="shared" si="8"/>
        <v>0.10026757173055721</v>
      </c>
      <c r="AC28" s="2">
        <f t="shared" si="9"/>
        <v>0.1151901624778385</v>
      </c>
      <c r="AD28" s="2">
        <f t="shared" si="10"/>
        <v>0.10227444344259566</v>
      </c>
      <c r="AE28" s="2">
        <f t="shared" si="11"/>
        <v>0.10987695088187602</v>
      </c>
      <c r="AF28" s="2">
        <f t="shared" si="12"/>
        <v>0.11908712371493149</v>
      </c>
      <c r="AG28" s="2">
        <f t="shared" si="13"/>
        <v>9.9235315312320327E-2</v>
      </c>
      <c r="AH28" s="2">
        <f t="shared" si="14"/>
        <v>0.1199891551819615</v>
      </c>
      <c r="AI28" s="2">
        <f t="shared" si="15"/>
        <v>0.10099811712417744</v>
      </c>
      <c r="AJ28" s="2">
        <f>0.184953911929806*(8350/2783.333)</f>
        <v>0.55486180223993264</v>
      </c>
      <c r="AK28" s="2">
        <f>0.41518919187744*(8350/2783.333)</f>
        <v>1.2455677248021071</v>
      </c>
      <c r="AL28" s="2">
        <f>0.414763674828467*(8350/2783.333)</f>
        <v>1.2442911735023083</v>
      </c>
      <c r="AM28" s="2">
        <f>0.296781618994274*(8350/2783.333)</f>
        <v>0.89034496361096138</v>
      </c>
      <c r="AN28" s="2">
        <f>0.253102314643021*(8350/2783.333)</f>
        <v>0.75930703486403628</v>
      </c>
      <c r="AO28" s="2">
        <f>0.194160922233299*(8350/2783.333)</f>
        <v>0.58248283645832144</v>
      </c>
      <c r="AP28" s="2">
        <f>0.184576744452256*(8350/2783.333)</f>
        <v>0.55373029967177301</v>
      </c>
      <c r="AQ28" s="2">
        <f>0.252736700449116*(8350/2783.333)</f>
        <v>0.75821019215096319</v>
      </c>
      <c r="AR28" s="2">
        <f>0.157133155904958*(8350/2783.333)</f>
        <v>0.47139952416990683</v>
      </c>
      <c r="AS28" s="2">
        <f>0.143901053009325*(8350/2783.333)</f>
        <v>0.43170321072895917</v>
      </c>
      <c r="AT28" s="2">
        <f>0.207397104518799*(8350/2783.333)</f>
        <v>0.6221913880703368</v>
      </c>
      <c r="AU28" s="2">
        <f>0.247302154544711*(8350/2783.333)</f>
        <v>0.7419065524852162</v>
      </c>
      <c r="AV28" s="2">
        <f>0.206630635419943*(8350/2783.333)</f>
        <v>0.61989198049838978</v>
      </c>
      <c r="AW28" s="2">
        <f>0.153102069992855*(8350/2783.333)</f>
        <v>0.4593062649853018</v>
      </c>
    </row>
    <row r="29" spans="1:49" x14ac:dyDescent="0.25">
      <c r="A29" s="5">
        <v>45651</v>
      </c>
      <c r="B29" s="2">
        <f>0.319867536679455*(8350/2783.333)</f>
        <v>0.95960272496084786</v>
      </c>
      <c r="C29" s="2">
        <f>0.312375251621813*(8350/2783.333)</f>
        <v>0.93712586709608214</v>
      </c>
      <c r="D29" s="2">
        <f>0.222991141846198*(8350/2783.333)</f>
        <v>0.66897350565518088</v>
      </c>
      <c r="E29" s="2">
        <f>0.233496417053374*(8350/2783.333)</f>
        <v>0.70048933505106115</v>
      </c>
      <c r="F29" s="2">
        <f>0.19763175140324*(8350/2783.333)</f>
        <v>0.59289532521514909</v>
      </c>
      <c r="G29" s="2">
        <f>0.253009747687953*(8350/2783.333)</f>
        <v>0.75902933396557437</v>
      </c>
      <c r="H29" s="2">
        <f>0.218216473985666*(8350/2783.333)</f>
        <v>0.65464950035813574</v>
      </c>
      <c r="I29" s="2">
        <f>0.264680697746106*(8350/2783.333)</f>
        <v>0.79404218833319173</v>
      </c>
      <c r="J29" s="2">
        <f>0.209543339724349*(8350/2783.333)</f>
        <v>0.62863009445808826</v>
      </c>
      <c r="K29" s="2">
        <f>0.28965036879455*(8350/2783.333)</f>
        <v>0.8689512104496645</v>
      </c>
      <c r="L29" s="2">
        <f>0.262529961153033*(8350/2783.333)</f>
        <v>0.78758997778125106</v>
      </c>
      <c r="M29" s="2">
        <f>0.262128828529801*(8350/2783.333)</f>
        <v>0.78638657976743653</v>
      </c>
      <c r="N29" s="2">
        <f>0.209211994299438*(8350/2783.333)</f>
        <v>0.62763605806430811</v>
      </c>
      <c r="O29" s="2">
        <f>0.289576178551916*(8350/2783.333)</f>
        <v>0.86872863969510483</v>
      </c>
      <c r="P29" s="2">
        <f>0.581510669598315*(8350/2783.333)</f>
        <v>1.7445322177209588</v>
      </c>
      <c r="Q29" s="2">
        <f>0.375913212963103*(8350/2783.333)</f>
        <v>1.127739773947966</v>
      </c>
      <c r="R29" s="2">
        <f>0.491281162777828*(8350/2783.333)</f>
        <v>1.473843664841707</v>
      </c>
      <c r="S29" s="2">
        <f>0.192602055226924*(8350/2783.333)</f>
        <v>0.57780623487912386</v>
      </c>
      <c r="T29" s="2">
        <f t="shared" si="0"/>
        <v>0.10069243236843764</v>
      </c>
      <c r="U29" s="2">
        <f t="shared" si="1"/>
        <v>0.11437794326585224</v>
      </c>
      <c r="V29" s="2">
        <f t="shared" si="2"/>
        <v>0.11043877033537902</v>
      </c>
      <c r="W29" s="2">
        <f t="shared" si="3"/>
        <v>0.10705744606724045</v>
      </c>
      <c r="X29" s="2">
        <f t="shared" si="4"/>
        <v>0.11728533803050227</v>
      </c>
      <c r="Y29" s="2">
        <f t="shared" si="5"/>
        <v>0.10928020503416074</v>
      </c>
      <c r="Z29" s="2">
        <f t="shared" si="6"/>
        <v>0.10579568013572224</v>
      </c>
      <c r="AA29" s="2">
        <f t="shared" si="7"/>
        <v>0.11798772791544039</v>
      </c>
      <c r="AB29" s="2">
        <f t="shared" si="8"/>
        <v>0.10026757173055721</v>
      </c>
      <c r="AC29" s="2">
        <f t="shared" si="9"/>
        <v>0.1151901624778385</v>
      </c>
      <c r="AD29" s="2">
        <f t="shared" si="10"/>
        <v>0.10227444344259566</v>
      </c>
      <c r="AE29" s="2">
        <f t="shared" si="11"/>
        <v>0.10987695088187602</v>
      </c>
      <c r="AF29" s="2">
        <f t="shared" si="12"/>
        <v>0.11908712371493149</v>
      </c>
      <c r="AG29" s="2">
        <f t="shared" si="13"/>
        <v>9.9235315312320327E-2</v>
      </c>
      <c r="AH29" s="2">
        <f t="shared" si="14"/>
        <v>0.1199891551819615</v>
      </c>
      <c r="AI29" s="2">
        <f t="shared" si="15"/>
        <v>0.10099811712417744</v>
      </c>
      <c r="AJ29" s="2">
        <f>0.256055046925772*(8350/2783.333)</f>
        <v>0.76816523277315252</v>
      </c>
      <c r="AK29" s="2">
        <f>0.355234073916799*(8350/2783.333)</f>
        <v>1.06570234937942</v>
      </c>
      <c r="AL29" s="2">
        <f>0.285132061974941*(8350/2783.333)</f>
        <v>0.85539628836749126</v>
      </c>
      <c r="AM29" s="2">
        <f>0.347677353209328*(8350/2783.333)</f>
        <v>1.0430321845420167</v>
      </c>
      <c r="AN29" s="2">
        <f>0.344716035894175*(8350/2783.333)</f>
        <v>1.034148231532614</v>
      </c>
      <c r="AO29" s="2">
        <f>0.168939403511218*(8350/2783.333)</f>
        <v>0.50681827123045331</v>
      </c>
      <c r="AP29" s="2">
        <f>0.214395550640842*(8350/2783.333)</f>
        <v>0.64318672895087703</v>
      </c>
      <c r="AQ29" s="2">
        <f>0.215300500181519*(8350/2783.333)</f>
        <v>0.64590157789803904</v>
      </c>
      <c r="AR29" s="2">
        <f>0.217568985099173*(8350/2783.333)</f>
        <v>0.6527070334660251</v>
      </c>
      <c r="AS29" s="2">
        <f>0.196155625331147*(8350/2783.333)</f>
        <v>0.58846694646852493</v>
      </c>
      <c r="AT29" s="2">
        <f>0.284617686517499*(8350/2783.333)</f>
        <v>0.85385316181035942</v>
      </c>
      <c r="AU29" s="2">
        <f>0.193894177506886*(8350/2783.333)</f>
        <v>0.58168260218324475</v>
      </c>
      <c r="AV29" s="2">
        <f>0.187888276435076*(8350/2783.333)</f>
        <v>0.56366489681000487</v>
      </c>
      <c r="AW29" s="2">
        <f>0.0999437878227467*(8350/2783.333)</f>
        <v>0.29983139937619196</v>
      </c>
    </row>
    <row r="30" spans="1:49" x14ac:dyDescent="0.25">
      <c r="A30" s="5">
        <v>45652</v>
      </c>
      <c r="B30" s="2">
        <f>0.311462258343353*(8350/2783.333)</f>
        <v>0.93438688693267957</v>
      </c>
      <c r="C30" s="2">
        <f>0.304205437348627*(8350/2783.333)</f>
        <v>0.91261642134126142</v>
      </c>
      <c r="D30" s="2">
        <f>0.218687804021096*(8350/2783.333)</f>
        <v>0.65606349063376501</v>
      </c>
      <c r="E30" s="2">
        <f>0.337272602410429*(8350/2783.333)</f>
        <v>1.0118179284070876</v>
      </c>
      <c r="F30" s="2">
        <f>0.236298833199526*(8350/2783.333)</f>
        <v>0.70889658449637405</v>
      </c>
      <c r="G30" s="2">
        <f>0.323132299481617*(8350/2783.333)</f>
        <v>0.96939701454030325</v>
      </c>
      <c r="H30" s="2">
        <f>0.307986051905371*(8350/2783.333)</f>
        <v>0.92395826636979717</v>
      </c>
      <c r="I30" s="2">
        <f>0.284718144934632*(8350/2783.333)</f>
        <v>0.85415453709785216</v>
      </c>
      <c r="J30" s="2">
        <f>0.196075525829022*(8350/2783.333)</f>
        <v>0.58822664793337176</v>
      </c>
      <c r="K30" s="2">
        <f>0.268175386659692*(8350/2783.333)</f>
        <v>0.80452625632952612</v>
      </c>
      <c r="L30" s="2">
        <f>0.229245655460097*(8350/2783.333)</f>
        <v>0.68773704874400876</v>
      </c>
      <c r="M30" s="2">
        <f>0.269177670977661*(8350/2783.333)</f>
        <v>0.80753310964353497</v>
      </c>
      <c r="N30" s="2">
        <f>0.203696047180432*(8350/2783.333)</f>
        <v>0.61108821472551311</v>
      </c>
      <c r="O30" s="2">
        <f>0.197557807935548*(8350/2783.333)</f>
        <v>0.59267349478550624</v>
      </c>
      <c r="P30" s="2">
        <f>0.211654365287452*(8350/2783.333)</f>
        <v>0.63496317190584939</v>
      </c>
      <c r="Q30" s="2">
        <f>0.296202632046209*(8350/2783.333)</f>
        <v>0.88860800255874828</v>
      </c>
      <c r="R30" s="2">
        <f>0.335708794564849*(8350/2783.333)</f>
        <v>1.0071265043084996</v>
      </c>
      <c r="S30" s="2">
        <f>0.161477563102253*(8350/2783.333)</f>
        <v>0.48443274732265723</v>
      </c>
      <c r="T30" s="2">
        <f t="shared" si="0"/>
        <v>0.10069243236843764</v>
      </c>
      <c r="U30" s="2">
        <f t="shared" si="1"/>
        <v>0.11437794326585224</v>
      </c>
      <c r="V30" s="2">
        <f t="shared" si="2"/>
        <v>0.11043877033537902</v>
      </c>
      <c r="W30" s="2">
        <f t="shared" si="3"/>
        <v>0.10705744606724045</v>
      </c>
      <c r="X30" s="2">
        <f t="shared" si="4"/>
        <v>0.11728533803050227</v>
      </c>
      <c r="Y30" s="2">
        <f t="shared" si="5"/>
        <v>0.10928020503416074</v>
      </c>
      <c r="Z30" s="2">
        <f t="shared" si="6"/>
        <v>0.10579568013572224</v>
      </c>
      <c r="AA30" s="2">
        <f t="shared" si="7"/>
        <v>0.11798772791544039</v>
      </c>
      <c r="AB30" s="2">
        <f t="shared" si="8"/>
        <v>0.10026757173055721</v>
      </c>
      <c r="AC30" s="2">
        <f t="shared" si="9"/>
        <v>0.1151901624778385</v>
      </c>
      <c r="AD30" s="2">
        <f t="shared" si="10"/>
        <v>0.10227444344259566</v>
      </c>
      <c r="AE30" s="2">
        <f t="shared" si="11"/>
        <v>0.10987695088187602</v>
      </c>
      <c r="AF30" s="2">
        <f t="shared" si="12"/>
        <v>0.11908712371493149</v>
      </c>
      <c r="AG30" s="2">
        <f t="shared" si="13"/>
        <v>9.9235315312320327E-2</v>
      </c>
      <c r="AH30" s="2">
        <f t="shared" si="14"/>
        <v>0.1199891551819615</v>
      </c>
      <c r="AI30" s="2">
        <f t="shared" si="15"/>
        <v>0.10099811712417744</v>
      </c>
      <c r="AJ30" s="2">
        <f>0.143111879394866*(8350/2783.333)</f>
        <v>0.42933568960204616</v>
      </c>
      <c r="AK30" s="2">
        <f>0.31416481811376*(8350/2783.333)</f>
        <v>0.9424945672148799</v>
      </c>
      <c r="AL30" s="2">
        <f>0.387457680990141*(8350/2783.333)</f>
        <v>1.1623731821767929</v>
      </c>
      <c r="AM30" s="2">
        <f>0.38204849839352*(8350/2783.333)</f>
        <v>1.1461456324435091</v>
      </c>
      <c r="AN30" s="2">
        <f>0.325461626682069*(8350/2783.333)</f>
        <v>0.97638499697854053</v>
      </c>
      <c r="AO30" s="2">
        <f>0.118944085334312*(8350/2783.333)</f>
        <v>0.35683229873734185</v>
      </c>
      <c r="AP30" s="2">
        <f>0.128104256754318*(8350/2783.333)</f>
        <v>0.38431281628844188</v>
      </c>
      <c r="AQ30" s="2">
        <f>0.165837285348314*(8350/2783.333)</f>
        <v>0.49751191562720704</v>
      </c>
      <c r="AR30" s="2">
        <f>0.151906273380053*(8350/2783.333)</f>
        <v>0.45571887471726974</v>
      </c>
      <c r="AS30" s="2">
        <f>0.131038389053184*(8350/2783.333)</f>
        <v>0.39311521423921986</v>
      </c>
      <c r="AT30" s="2">
        <f>0.226251386747781*(8350/2783.333)</f>
        <v>0.6787542415312765</v>
      </c>
      <c r="AU30" s="2">
        <f>0.155413895914416*(8350/2783.333)</f>
        <v>0.4662417435805819</v>
      </c>
      <c r="AV30" s="2">
        <f>0.221035919598395*(8350/2783.333)</f>
        <v>0.66310783820929642</v>
      </c>
      <c r="AW30" s="2">
        <f>0.0882862698029861*(8350/2783.333)</f>
        <v>0.2648588411285801</v>
      </c>
    </row>
    <row r="31" spans="1:49" x14ac:dyDescent="0.25">
      <c r="A31" s="5">
        <v>45653</v>
      </c>
      <c r="B31" s="2">
        <f>0.318933616864333*(8350/2783.333)</f>
        <v>0.95680096517994062</v>
      </c>
      <c r="C31" s="2">
        <f>0.745855985410852*(8350/2783.333)</f>
        <v>2.2375682242047978</v>
      </c>
      <c r="D31" s="2">
        <f>0.221426291727979*(8350/2783.333)</f>
        <v>0.66427895473830256</v>
      </c>
      <c r="E31" s="2">
        <f>0.224230686217923*(8350/2783.333)</f>
        <v>0.67269213921570092</v>
      </c>
      <c r="F31" s="2">
        <f>0.189820219727223*(8350/2783.333)</f>
        <v>0.56946072738055842</v>
      </c>
      <c r="G31" s="2">
        <f>0.217474670765487*(8350/2783.333)</f>
        <v>0.65242409043108351</v>
      </c>
      <c r="H31" s="2">
        <f>0.22155895826991*(8350/2783.333)</f>
        <v>0.66467695441176133</v>
      </c>
      <c r="I31" s="2">
        <f>0.214354086202833*(8350/2783.333)</f>
        <v>0.64306233562195148</v>
      </c>
      <c r="J31" s="2">
        <f>0.178250478026384*(8350/2783.333)</f>
        <v>0.53475149812124667</v>
      </c>
      <c r="K31" s="2">
        <f>0.252461985097601*(8350/2783.333)</f>
        <v>0.75738604599771842</v>
      </c>
      <c r="L31" s="2">
        <f>0.262113907331871*(8350/2783.333)</f>
        <v>0.78634181616828613</v>
      </c>
      <c r="M31" s="2">
        <f>0.260807170570827*(8350/2783.333)</f>
        <v>0.78242160541566752</v>
      </c>
      <c r="N31" s="2">
        <f>0.200150081175356*(8350/2783.333)</f>
        <v>0.60045031543628691</v>
      </c>
      <c r="O31" s="2">
        <f>0.182534400487978*(8350/2783.333)</f>
        <v>0.54760326704516327</v>
      </c>
      <c r="P31" s="2">
        <f>0.803510665775581*(8350/2783.333)</f>
        <v>2.410532286013245</v>
      </c>
      <c r="Q31" s="2">
        <f>0.505148119301736*(8350/2783.333)</f>
        <v>1.5154445393955727</v>
      </c>
      <c r="R31" s="2">
        <f>0.476021672115789*(8350/2783.333)</f>
        <v>1.4280651873731391</v>
      </c>
      <c r="S31" s="2">
        <f>0.109243885724711*(8350/2783.333)</f>
        <v>0.32773169642343886</v>
      </c>
      <c r="T31" s="2">
        <f t="shared" si="0"/>
        <v>0.10069243236843764</v>
      </c>
      <c r="U31" s="2">
        <f t="shared" si="1"/>
        <v>0.11437794326585224</v>
      </c>
      <c r="V31" s="2">
        <f t="shared" si="2"/>
        <v>0.11043877033537902</v>
      </c>
      <c r="W31" s="2">
        <f t="shared" si="3"/>
        <v>0.10705744606724045</v>
      </c>
      <c r="X31" s="2">
        <f t="shared" si="4"/>
        <v>0.11728533803050227</v>
      </c>
      <c r="Y31" s="2">
        <f t="shared" si="5"/>
        <v>0.10928020503416074</v>
      </c>
      <c r="Z31" s="2">
        <f t="shared" si="6"/>
        <v>0.10579568013572224</v>
      </c>
      <c r="AA31" s="2">
        <f t="shared" si="7"/>
        <v>0.11798772791544039</v>
      </c>
      <c r="AB31" s="2">
        <f t="shared" si="8"/>
        <v>0.10026757173055721</v>
      </c>
      <c r="AC31" s="2">
        <f t="shared" si="9"/>
        <v>0.1151901624778385</v>
      </c>
      <c r="AD31" s="2">
        <f t="shared" si="10"/>
        <v>0.10227444344259566</v>
      </c>
      <c r="AE31" s="2">
        <f t="shared" si="11"/>
        <v>0.10987695088187602</v>
      </c>
      <c r="AF31" s="2">
        <f t="shared" si="12"/>
        <v>0.11908712371493149</v>
      </c>
      <c r="AG31" s="2">
        <f t="shared" si="13"/>
        <v>9.9235315312320327E-2</v>
      </c>
      <c r="AH31" s="2">
        <f t="shared" si="14"/>
        <v>0.1199891551819615</v>
      </c>
      <c r="AI31" s="2">
        <f t="shared" si="15"/>
        <v>0.10099811712417744</v>
      </c>
      <c r="AJ31" s="2">
        <f>0.163578090960869*(8350/2783.333)</f>
        <v>0.49073433165318592</v>
      </c>
      <c r="AK31" s="2">
        <f>0.224232141172798*(8350/2783.333)</f>
        <v>0.67269650408084958</v>
      </c>
      <c r="AL31" s="2">
        <f>0.210974731340329*(8350/2783.333)</f>
        <v>0.63292426982030103</v>
      </c>
      <c r="AM31" s="2">
        <f>0.262410473810082*(8350/2783.333)</f>
        <v>0.78723151570946925</v>
      </c>
      <c r="AN31" s="2">
        <f>0.249375654795516*(8350/2783.333)</f>
        <v>0.74812705398260304</v>
      </c>
      <c r="AO31" s="2">
        <f>0.145658001613912*(8350/2783.333)</f>
        <v>0.43697405717395926</v>
      </c>
      <c r="AP31" s="2">
        <f>0.186908941584324*(8350/2783.333)</f>
        <v>0.56072689190589287</v>
      </c>
      <c r="AQ31" s="2">
        <f>0.183962504482399*(8350/2783.333)</f>
        <v>0.55188757954151879</v>
      </c>
      <c r="AR31" s="2">
        <f>0.229329470780209*(8350/2783.333)</f>
        <v>0.68798849473445867</v>
      </c>
      <c r="AS31" s="2">
        <f>0.234261267301214*(8350/2783.333)</f>
        <v>0.70278388606937836</v>
      </c>
      <c r="AT31" s="2">
        <f>0.181820860799485*(8350/2783.333)</f>
        <v>0.54546264772332265</v>
      </c>
      <c r="AU31" s="2">
        <f>0.187259646197839*(8350/2783.333)</f>
        <v>0.56177900587244045</v>
      </c>
      <c r="AV31" s="2">
        <f>0.169920395094211*(8350/2783.333)</f>
        <v>0.50976124633188402</v>
      </c>
      <c r="AW31" s="2">
        <f>0.119372984522347*(8350/2783.333)</f>
        <v>0.35811899645554507</v>
      </c>
    </row>
    <row r="32" spans="1:49" x14ac:dyDescent="0.25">
      <c r="A32" s="5">
        <v>45654</v>
      </c>
      <c r="B32" s="2">
        <f>0.354422569838988*(8350/2783.333)</f>
        <v>1.0632678368544286</v>
      </c>
      <c r="C32" s="2">
        <f>0.288346386112443*(8350/2783.333)</f>
        <v>0.86503926193484471</v>
      </c>
      <c r="D32" s="2">
        <f>0.219470229080205*(8350/2783.333)</f>
        <v>0.65841076609220428</v>
      </c>
      <c r="E32" s="2">
        <f>0.282604790481267*(8350/2783.333)</f>
        <v>0.84781447297846702</v>
      </c>
      <c r="F32" s="2">
        <f>0.224972112269301*(8350/2783.333)</f>
        <v>0.67491641763621701</v>
      </c>
      <c r="G32" s="2">
        <f>0.269592783585103*(8350/2783.333)</f>
        <v>0.8087784476150035</v>
      </c>
      <c r="H32" s="2">
        <f>0.267398742739547*(8350/2783.333)</f>
        <v>0.80219632429005638</v>
      </c>
      <c r="I32" s="2">
        <f>0.25675891629948*(8350/2783.333)</f>
        <v>0.7702768411471631</v>
      </c>
      <c r="J32" s="2">
        <f>0.223803377966459*(8350/2783.333)</f>
        <v>0.67141021430778736</v>
      </c>
      <c r="K32" s="2">
        <f>0.287031468534202*(8350/2783.333)</f>
        <v>0.86109450872769566</v>
      </c>
      <c r="L32" s="2">
        <f>0.28874135188622*(8350/2783.333)</f>
        <v>0.8662241593980804</v>
      </c>
      <c r="M32" s="2">
        <f>0.295170277504146*(8350/2783.333)</f>
        <v>0.88551093856165131</v>
      </c>
      <c r="N32" s="2">
        <f>0.257673529702132*(8350/2783.333)</f>
        <v>0.77302068168372406</v>
      </c>
      <c r="O32" s="2">
        <f>0.218590578362146*(8350/2783.333)</f>
        <v>0.65577181362198544</v>
      </c>
      <c r="P32" s="2">
        <f>0.236656306604503*(8350/2783.333)</f>
        <v>0.70996900483973802</v>
      </c>
      <c r="Q32" s="2">
        <f>0.432984102258631*(8350/2783.333)</f>
        <v>1.298952462339062</v>
      </c>
      <c r="R32" s="2">
        <f>0.360645035402815*(8350/2783.333)</f>
        <v>1.0819352357815262</v>
      </c>
      <c r="S32" s="2">
        <f>0.0867479656742066*(8350/2783.333)</f>
        <v>0.26024392818955733</v>
      </c>
      <c r="T32" s="2">
        <f t="shared" si="0"/>
        <v>0.10069243236843764</v>
      </c>
      <c r="U32" s="2">
        <f t="shared" si="1"/>
        <v>0.11437794326585224</v>
      </c>
      <c r="V32" s="2">
        <f t="shared" si="2"/>
        <v>0.11043877033537902</v>
      </c>
      <c r="W32" s="2">
        <f t="shared" si="3"/>
        <v>0.10705744606724045</v>
      </c>
      <c r="X32" s="2">
        <f t="shared" si="4"/>
        <v>0.11728533803050227</v>
      </c>
      <c r="Y32" s="2">
        <f t="shared" si="5"/>
        <v>0.10928020503416074</v>
      </c>
      <c r="Z32" s="2">
        <f t="shared" si="6"/>
        <v>0.10579568013572224</v>
      </c>
      <c r="AA32" s="2">
        <f t="shared" si="7"/>
        <v>0.11798772791544039</v>
      </c>
      <c r="AB32" s="2">
        <f t="shared" si="8"/>
        <v>0.10026757173055721</v>
      </c>
      <c r="AC32" s="2">
        <f t="shared" si="9"/>
        <v>0.1151901624778385</v>
      </c>
      <c r="AD32" s="2">
        <f t="shared" si="10"/>
        <v>0.10227444344259566</v>
      </c>
      <c r="AE32" s="2">
        <f t="shared" si="11"/>
        <v>0.10987695088187602</v>
      </c>
      <c r="AF32" s="2">
        <f t="shared" si="12"/>
        <v>0.11908712371493149</v>
      </c>
      <c r="AG32" s="2">
        <f t="shared" si="13"/>
        <v>9.9235315312320327E-2</v>
      </c>
      <c r="AH32" s="2">
        <f t="shared" si="14"/>
        <v>0.1199891551819615</v>
      </c>
      <c r="AI32" s="2">
        <f t="shared" si="15"/>
        <v>0.10099811712417744</v>
      </c>
      <c r="AJ32" s="2">
        <f>0.128709730515086*(8350/2783.333)</f>
        <v>0.38612923778828079</v>
      </c>
      <c r="AK32" s="2">
        <f>0.308469081907499*(8350/2783.333)</f>
        <v>0.9254073565497245</v>
      </c>
      <c r="AL32" s="2">
        <f>0.336007439968453*(8350/2783.333)</f>
        <v>1.0080224406266103</v>
      </c>
      <c r="AM32" s="2">
        <f>0.354617680602289*(8350/2783.333)</f>
        <v>1.0638531692144333</v>
      </c>
      <c r="AN32" s="2">
        <f>0.357759345360442*(8350/2783.333)</f>
        <v>1.0732781646176319</v>
      </c>
      <c r="AO32" s="2">
        <f>0.148642796728952*(8350/2783.333)</f>
        <v>0.44592844359145878</v>
      </c>
      <c r="AP32" s="2">
        <f>0.167585022490044*(8350/2783.333)</f>
        <v>0.50275512768032815</v>
      </c>
      <c r="AQ32" s="2">
        <f>0.155165427353479*(8350/2783.333)</f>
        <v>0.46549633780850053</v>
      </c>
      <c r="AR32" s="2">
        <f>0.134755565095208*(8350/2783.333)</f>
        <v>0.40426674370080379</v>
      </c>
      <c r="AS32" s="2">
        <f>0.141328520218097*(8350/2783.333)</f>
        <v>0.42398561143101127</v>
      </c>
      <c r="AT32" s="2">
        <f>0.281010780351954*(8350/2783.333)</f>
        <v>0.84303244201783101</v>
      </c>
      <c r="AU32" s="2">
        <f>0.17946407190971*(8350/2783.333)</f>
        <v>0.53839228020724594</v>
      </c>
      <c r="AV32" s="2">
        <f>0.245819204206484*(8350/2783.333)</f>
        <v>0.73745770093773955</v>
      </c>
      <c r="AW32" s="2">
        <f>0.10320789286828*(8350/2783.333)</f>
        <v>0.30962371568552333</v>
      </c>
    </row>
    <row r="33" spans="1:49" x14ac:dyDescent="0.25">
      <c r="A33" s="5">
        <v>45655</v>
      </c>
      <c r="B33" s="2">
        <f>0.315197937603843*(8350/2783.333)</f>
        <v>0.94559392605630999</v>
      </c>
      <c r="C33" s="2">
        <f>0.318142179344062*(8350/2783.333)</f>
        <v>0.95442665233477819</v>
      </c>
      <c r="D33" s="2">
        <f>0.251940869033248*(8350/2783.333)</f>
        <v>0.75582269761743259</v>
      </c>
      <c r="E33" s="2">
        <f>0.28862751552431*(8350/2783.333)</f>
        <v>0.86588265027145039</v>
      </c>
      <c r="F33" s="2">
        <f>0.198412904570842*(8350/2783.333)</f>
        <v>0.59523878499860861</v>
      </c>
      <c r="G33" s="2">
        <f>0.240690921021498*(8350/2783.333)</f>
        <v>0.72207284954028472</v>
      </c>
      <c r="H33" s="2">
        <f>0.247343837034081*(8350/2783.333)</f>
        <v>0.74203159996830248</v>
      </c>
      <c r="I33" s="2">
        <f>0.243711276269742*(8350/2783.333)</f>
        <v>0.73113391637017433</v>
      </c>
      <c r="J33" s="2">
        <f>0.202413320603294*(8350/2783.333)</f>
        <v>0.60724003453323816</v>
      </c>
      <c r="K33" s="2">
        <f>0.269222946763832*(8350/2783.333)</f>
        <v>0.80766893701831366</v>
      </c>
      <c r="L33" s="2">
        <f>0.275011575787884*(8350/2783.333)</f>
        <v>0.82503482617021762</v>
      </c>
      <c r="M33" s="2">
        <f>0.263450486488775*(8350/2783.333)</f>
        <v>0.7903515541192051</v>
      </c>
      <c r="N33" s="2">
        <f>0.187148205823414*(8350/2783.333)</f>
        <v>0.56144468470912667</v>
      </c>
      <c r="O33" s="2">
        <f>0.198308978307927*(8350/2783.333)</f>
        <v>0.59492700617252336</v>
      </c>
      <c r="P33" s="2">
        <f>0.20173980235138*(8350/2783.333)</f>
        <v>0.60521947953551447</v>
      </c>
      <c r="Q33" s="2">
        <f>0.633911365398257*(8350/2783.333)</f>
        <v>1.9017343239473852</v>
      </c>
      <c r="R33" s="2">
        <f>0.361389400800963*(8350/2783.333)</f>
        <v>1.0841683322434075</v>
      </c>
      <c r="S33" s="2">
        <f>0.172725523127505*(8350/2783.333)</f>
        <v>0.51817663143959813</v>
      </c>
      <c r="T33" s="2">
        <f t="shared" si="0"/>
        <v>0.10069243236843764</v>
      </c>
      <c r="U33" s="2">
        <f t="shared" si="1"/>
        <v>0.11437794326585224</v>
      </c>
      <c r="V33" s="2">
        <f t="shared" si="2"/>
        <v>0.11043877033537902</v>
      </c>
      <c r="W33" s="2">
        <f t="shared" si="3"/>
        <v>0.10705744606724045</v>
      </c>
      <c r="X33" s="2">
        <f t="shared" si="4"/>
        <v>0.11728533803050227</v>
      </c>
      <c r="Y33" s="2">
        <f t="shared" si="5"/>
        <v>0.10928020503416074</v>
      </c>
      <c r="Z33" s="2">
        <f t="shared" si="6"/>
        <v>0.10579568013572224</v>
      </c>
      <c r="AA33" s="2">
        <f t="shared" si="7"/>
        <v>0.11798772791544039</v>
      </c>
      <c r="AB33" s="2">
        <f t="shared" si="8"/>
        <v>0.10026757173055721</v>
      </c>
      <c r="AC33" s="2">
        <f t="shared" si="9"/>
        <v>0.1151901624778385</v>
      </c>
      <c r="AD33" s="2">
        <f t="shared" si="10"/>
        <v>0.10227444344259566</v>
      </c>
      <c r="AE33" s="2">
        <f t="shared" si="11"/>
        <v>0.10987695088187602</v>
      </c>
      <c r="AF33" s="2">
        <f t="shared" si="12"/>
        <v>0.11908712371493149</v>
      </c>
      <c r="AG33" s="2">
        <f t="shared" si="13"/>
        <v>9.9235315312320327E-2</v>
      </c>
      <c r="AH33" s="2">
        <f t="shared" si="14"/>
        <v>0.1199891551819615</v>
      </c>
      <c r="AI33" s="2">
        <f t="shared" si="15"/>
        <v>0.10099811712417744</v>
      </c>
      <c r="AJ33" s="2">
        <f>0.119613636485751*(8350/2783.333)</f>
        <v>0.35884095243221825</v>
      </c>
      <c r="AK33" s="2">
        <f>0.23562361358532*(8350/2783.333)</f>
        <v>0.7068709254111597</v>
      </c>
      <c r="AL33" s="2">
        <f>0.234256683981428*(8350/2783.333)</f>
        <v>0.70277013610837213</v>
      </c>
      <c r="AM33" s="2">
        <f>0.264062932713168*(8350/2783.333)</f>
        <v>0.79218889301242501</v>
      </c>
      <c r="AN33" s="2">
        <f>0.311797207241218*(8350/2783.333)</f>
        <v>0.93539173374661666</v>
      </c>
      <c r="AO33" s="2">
        <f>0.13103250555022*(8350/2783.333)</f>
        <v>0.39309756372821369</v>
      </c>
      <c r="AP33" s="2">
        <f>0.147095004829731*(8350/2783.333)</f>
        <v>0.44128506733770373</v>
      </c>
      <c r="AQ33" s="2">
        <f>0.15855331878041*(8350/2783.333)</f>
        <v>0.47566001330650226</v>
      </c>
      <c r="AR33" s="2">
        <f>0.140962488093533*(8350/2783.333)</f>
        <v>0.42288751492581039</v>
      </c>
      <c r="AS33" s="2">
        <f>0.201139907614152*(8350/2783.333)</f>
        <v>0.60341979510829913</v>
      </c>
      <c r="AT33" s="2">
        <f>0.236088403562902*(8350/2783.333)</f>
        <v>0.70826529551089734</v>
      </c>
      <c r="AU33" s="2">
        <f>0.210646369062228*(8350/2783.333)</f>
        <v>0.63193918286802442</v>
      </c>
      <c r="AV33" s="2">
        <f>0.1668224845182*(8350/2783.333)</f>
        <v>0.50046751349082863</v>
      </c>
      <c r="AW33" s="2">
        <f>0.090773206980535*(8350/2783.333)</f>
        <v>0.27231965355473725</v>
      </c>
    </row>
    <row r="34" spans="1:49" x14ac:dyDescent="0.25">
      <c r="A34" s="5">
        <v>45656</v>
      </c>
      <c r="B34" s="2">
        <f>0.260096668511616*(8350/2783.333)</f>
        <v>0.78029009898276291</v>
      </c>
      <c r="C34" s="2">
        <f>0.259992324811386*(8350/2783.333)</f>
        <v>0.77997706784458465</v>
      </c>
      <c r="D34" s="2">
        <f>0.200692027661578*(8350/2783.333)</f>
        <v>0.60207615508966306</v>
      </c>
      <c r="E34" s="2">
        <f>0.244152007514143*(8350/2783.333)</f>
        <v>0.73245611026172452</v>
      </c>
      <c r="F34" s="2">
        <f>0.207005589414461*(8350/2783.333)</f>
        <v>0.62101684261665846</v>
      </c>
      <c r="G34" s="2">
        <f>0.244481329226561*(8350/2783.333)</f>
        <v>0.73344407551729685</v>
      </c>
      <c r="H34" s="2">
        <f>0.242091361730268*(8350/2783.333)</f>
        <v>0.72627417216974766</v>
      </c>
      <c r="I34" s="2">
        <f>0.206898291900125*(8350/2783.333)</f>
        <v>0.62069495003510045</v>
      </c>
      <c r="J34" s="2">
        <f>0.19171829192171*(8350/2783.333)</f>
        <v>0.57515494464596284</v>
      </c>
      <c r="K34" s="2">
        <f>0.45411730514444*(8350/2783.333)</f>
        <v>1.3623520785892564</v>
      </c>
      <c r="L34" s="2">
        <f>0.442265211894887*(8350/2783.333)</f>
        <v>1.3267957945823619</v>
      </c>
      <c r="M34" s="2">
        <f>0.305743541175936*(8350/2783.333)</f>
        <v>0.91723073337579963</v>
      </c>
      <c r="N34" s="2">
        <f>0.197392107615853*(8350/2783.333)</f>
        <v>0.59217639376688902</v>
      </c>
      <c r="O34" s="2">
        <f>0.188168178280817*(8350/2783.333)</f>
        <v>0.56450460244779233</v>
      </c>
      <c r="P34" s="2">
        <f>0.217689316639844*(8350/2783.333)</f>
        <v>0.65306802813127063</v>
      </c>
      <c r="Q34" s="2">
        <f>0.405627808216147*(8350/2783.333)</f>
        <v>1.2168835703829997</v>
      </c>
      <c r="R34" s="2">
        <f>0.264621899041694*(8350/2783.333)</f>
        <v>0.79386579219882836</v>
      </c>
      <c r="S34" s="2">
        <f>0.10616225284108*(8350/2783.333)</f>
        <v>0.31848679666537283</v>
      </c>
      <c r="T34" s="2">
        <f t="shared" si="0"/>
        <v>0.10069243236843764</v>
      </c>
      <c r="U34" s="2">
        <f t="shared" si="1"/>
        <v>0.11437794326585224</v>
      </c>
      <c r="V34" s="2">
        <f t="shared" si="2"/>
        <v>0.11043877033537902</v>
      </c>
      <c r="W34" s="2">
        <f t="shared" si="3"/>
        <v>0.10705744606724045</v>
      </c>
      <c r="X34" s="2">
        <f t="shared" si="4"/>
        <v>0.11728533803050227</v>
      </c>
      <c r="Y34" s="2">
        <f t="shared" si="5"/>
        <v>0.10928020503416074</v>
      </c>
      <c r="Z34" s="2">
        <f t="shared" si="6"/>
        <v>0.10579568013572224</v>
      </c>
      <c r="AA34" s="2">
        <f t="shared" si="7"/>
        <v>0.11798772791544039</v>
      </c>
      <c r="AB34" s="2">
        <f t="shared" si="8"/>
        <v>0.10026757173055721</v>
      </c>
      <c r="AC34" s="2">
        <f t="shared" si="9"/>
        <v>0.1151901624778385</v>
      </c>
      <c r="AD34" s="2">
        <f t="shared" si="10"/>
        <v>0.10227444344259566</v>
      </c>
      <c r="AE34" s="2">
        <f t="shared" si="11"/>
        <v>0.10987695088187602</v>
      </c>
      <c r="AF34" s="2">
        <f t="shared" si="12"/>
        <v>0.11908712371493149</v>
      </c>
      <c r="AG34" s="2">
        <f t="shared" si="13"/>
        <v>9.9235315312320327E-2</v>
      </c>
      <c r="AH34" s="2">
        <f t="shared" si="14"/>
        <v>0.1199891551819615</v>
      </c>
      <c r="AI34" s="2">
        <f t="shared" si="15"/>
        <v>0.10099811712417744</v>
      </c>
      <c r="AJ34" s="2">
        <f>0.125071292903352*(8350/2783.333)</f>
        <v>0.37521392364585582</v>
      </c>
      <c r="AK34" s="2">
        <f>0.574070254473139*(8350/2783.333)</f>
        <v>1.7222109696722274</v>
      </c>
      <c r="AL34" s="2">
        <f>0.429997545075112*(8350/2783.333)</f>
        <v>1.289992789715491</v>
      </c>
      <c r="AM34" s="2">
        <f>0.338754075132662*(8350/2783.333)</f>
        <v>1.0162623471060528</v>
      </c>
      <c r="AN34" s="2">
        <f>0.399063158670284*(8350/2783.333)</f>
        <v>1.1971896193868552</v>
      </c>
      <c r="AO34" s="2">
        <f>0.169536362534226*(8350/2783.333)</f>
        <v>0.508609148513953</v>
      </c>
      <c r="AP34" s="2">
        <f>0.15575745132027*(8350/2783.333)</f>
        <v>0.46727240992157737</v>
      </c>
      <c r="AQ34" s="2">
        <f>0.185148266481825*(8350/2783.333)</f>
        <v>0.55544486596581943</v>
      </c>
      <c r="AR34" s="2">
        <f>0.173630503874189*(8350/2783.333)</f>
        <v>0.52089157400479291</v>
      </c>
      <c r="AS34" s="2">
        <f>0.171073430616673*(8350/2783.333)</f>
        <v>0.51322035331353355</v>
      </c>
      <c r="AT34" s="2">
        <f>0.310029979956561*(8350/2783.333)</f>
        <v>0.93009005125771349</v>
      </c>
      <c r="AU34" s="2">
        <f>0.218441943350358*(8350/2783.333)</f>
        <v>0.65532590853321926</v>
      </c>
      <c r="AV34" s="2">
        <f>0.248142637138492*(8350/2783.333)</f>
        <v>0.74442800056853053</v>
      </c>
      <c r="AW34" s="2">
        <f>0.173930168854827*(8350/2783.333)</f>
        <v>0.52179056905436827</v>
      </c>
    </row>
    <row r="35" spans="1:49" x14ac:dyDescent="0.25">
      <c r="A35" s="5">
        <v>45657</v>
      </c>
      <c r="B35" s="2">
        <f>0.351153850486059*(8350/2783.333)</f>
        <v>1.0534616776212515</v>
      </c>
      <c r="C35" s="2">
        <f>0.349860281816431*(8350/2783.333)</f>
        <v>1.0495809711476116</v>
      </c>
      <c r="D35" s="2">
        <f>0.221426291727979*(8350/2783.333)</f>
        <v>0.66427895473830256</v>
      </c>
      <c r="E35" s="2">
        <f>0.23627613630401*(8350/2783.333)</f>
        <v>0.70882849380166879</v>
      </c>
      <c r="F35" s="2">
        <f>0.18396157097021*(8350/2783.333)</f>
        <v>0.55188477900461486</v>
      </c>
      <c r="G35" s="2">
        <f>0.250640742559788*(8350/2783.333)</f>
        <v>0.75192231772994222</v>
      </c>
      <c r="H35" s="2">
        <f>0.247821334788973*(8350/2783.333)</f>
        <v>0.74346409340453468</v>
      </c>
      <c r="I35" s="2">
        <f>0.246507199133257*(8350/2783.333)</f>
        <v>0.73952168596524348</v>
      </c>
      <c r="J35" s="2">
        <f>0.204789993643645*(8350/2783.333)</f>
        <v>0.61437005450818816</v>
      </c>
      <c r="K35" s="2">
        <f>0.273413187180389*(8350/2783.333)</f>
        <v>0.82023965977346247</v>
      </c>
      <c r="L35" s="2">
        <f>0.275427629609045*(8350/2783.333)</f>
        <v>0.82628298778318254</v>
      </c>
      <c r="M35" s="2">
        <f>0.278429276690478*(8350/2783.333)</f>
        <v>0.83528793010591562</v>
      </c>
      <c r="N35" s="2">
        <f>0.217485914977947*(8350/2783.333)</f>
        <v>0.65245782307250122</v>
      </c>
      <c r="O35" s="2">
        <f>0.19643105237698*(8350/2783.333)</f>
        <v>0.58929322770498038</v>
      </c>
      <c r="P35" s="2">
        <f>0.194842715091504*(8350/2783.333)</f>
        <v>0.5845282152778899</v>
      </c>
      <c r="Q35" s="2">
        <f>0.211775448708198*(8350/2783.333)</f>
        <v>0.63532642221158941</v>
      </c>
      <c r="R35" s="2">
        <f>0.212144138472244*(8350/2783.333)</f>
        <v>0.63643249163619176</v>
      </c>
      <c r="S35" s="2">
        <f>0.171646951618235*(8350/2783.333)</f>
        <v>0.51494091652427498</v>
      </c>
      <c r="T35" s="2">
        <f t="shared" si="0"/>
        <v>0.10069243236843764</v>
      </c>
      <c r="U35" s="2">
        <f t="shared" si="1"/>
        <v>0.11437794326585224</v>
      </c>
      <c r="V35" s="2">
        <f t="shared" si="2"/>
        <v>0.11043877033537902</v>
      </c>
      <c r="W35" s="2">
        <f t="shared" si="3"/>
        <v>0.10705744606724045</v>
      </c>
      <c r="X35" s="2">
        <f t="shared" si="4"/>
        <v>0.11728533803050227</v>
      </c>
      <c r="Y35" s="2">
        <f t="shared" si="5"/>
        <v>0.10928020503416074</v>
      </c>
      <c r="Z35" s="2">
        <f t="shared" si="6"/>
        <v>0.10579568013572224</v>
      </c>
      <c r="AA35" s="2">
        <f t="shared" si="7"/>
        <v>0.11798772791544039</v>
      </c>
      <c r="AB35" s="2">
        <f t="shared" si="8"/>
        <v>0.10026757173055721</v>
      </c>
      <c r="AC35" s="2">
        <f t="shared" si="9"/>
        <v>0.1151901624778385</v>
      </c>
      <c r="AD35" s="2">
        <f t="shared" si="10"/>
        <v>0.10227444344259566</v>
      </c>
      <c r="AE35" s="2">
        <f t="shared" si="11"/>
        <v>0.10987695088187602</v>
      </c>
      <c r="AF35" s="2">
        <f t="shared" si="12"/>
        <v>0.11908712371493149</v>
      </c>
      <c r="AG35" s="2">
        <f t="shared" si="13"/>
        <v>9.9235315312320327E-2</v>
      </c>
      <c r="AH35" s="2">
        <f t="shared" si="14"/>
        <v>0.1199891551819615</v>
      </c>
      <c r="AI35" s="2">
        <f t="shared" si="15"/>
        <v>0.10099811712417744</v>
      </c>
      <c r="AJ35" s="2">
        <f>0.175099810064693*(8350/2783.333)</f>
        <v>0.52529949310419821</v>
      </c>
      <c r="AK35" s="2">
        <f>0.632826270074567*(8350/2783.333)</f>
        <v>1.8984790375864609</v>
      </c>
      <c r="AL35" s="2">
        <f>0.396942920955033*(8350/2783.333)</f>
        <v>1.1908289054793404</v>
      </c>
      <c r="AM35" s="2">
        <f>0.389319317567099*(8350/2783.333)</f>
        <v>1.1679580925765167</v>
      </c>
      <c r="AN35" s="2">
        <f>0.341610486021255*(8350/2783.333)</f>
        <v>1.0248315807980861</v>
      </c>
      <c r="AO35" s="2">
        <f>0.149687475019215*(8350/2783.333)</f>
        <v>0.44906247883758349</v>
      </c>
      <c r="AP35" s="2">
        <f>0.161254773131574*(8350/2783.333)</f>
        <v>0.48376437733057437</v>
      </c>
      <c r="AQ35" s="2">
        <f>0.180574613055467*(8350/2783.333)</f>
        <v>0.54172390404351645</v>
      </c>
      <c r="AR35" s="2">
        <f>0.189474491527808*(8350/2783.333)</f>
        <v>0.56842354265810036</v>
      </c>
      <c r="AS35" s="2">
        <f>0.229437768317662*(8350/2783.333)</f>
        <v>0.68831338738572612</v>
      </c>
      <c r="AT35" s="2">
        <f>0.25297528242886*(8350/2783.333)</f>
        <v>0.7589259381759127</v>
      </c>
      <c r="AU35" s="2">
        <f>0.168682958532509*(8350/2783.333)</f>
        <v>0.50604893620218949</v>
      </c>
      <c r="AV35" s="2">
        <f>0.15288188692615*(8350/2783.333)</f>
        <v>0.45864571570607976</v>
      </c>
      <c r="AW35" s="2">
        <f>0.125124026745429*(8350/2783.333)</f>
        <v>0.37537212519103341</v>
      </c>
    </row>
    <row r="36" spans="1:49" x14ac:dyDescent="0.25">
      <c r="A36" s="5">
        <v>45658</v>
      </c>
      <c r="B36" s="2">
        <f>0.367964407158264*(8350/2783.333)</f>
        <v>1.1038933536775881</v>
      </c>
      <c r="C36" s="2">
        <f>0.490188856391153*(8350/2783.333)</f>
        <v>1.4705667452892361</v>
      </c>
      <c r="D36" s="2">
        <f>0.277369683454306*(8350/2783.333)</f>
        <v>0.83210915001670749</v>
      </c>
      <c r="E36" s="2">
        <f>0.297893246359761*(8350/2783.333)</f>
        <v>0.89367984610681017</v>
      </c>
      <c r="F36" s="2">
        <f>0.228487301523509*(8350/2783.333)</f>
        <v>0.68546198666178282</v>
      </c>
      <c r="G36" s="2">
        <f>0.269592783585103*(8350/2783.333)</f>
        <v>0.8087784476150035</v>
      </c>
      <c r="H36" s="2">
        <f>0.276471200082496*(8350/2783.333)</f>
        <v>0.82941369957846944</v>
      </c>
      <c r="I36" s="2">
        <f>0.242313314837984*(8350/2783.333)</f>
        <v>0.72694003157263987</v>
      </c>
      <c r="J36" s="2">
        <f>0.21786169536558*(8350/2783.333)</f>
        <v>0.65358516437041259</v>
      </c>
      <c r="K36" s="2">
        <f>0.301697309992154*(8350/2783.333)</f>
        <v>0.90509203837071728</v>
      </c>
      <c r="L36" s="2">
        <f>0.297894535951777*(8350/2783.333)</f>
        <v>0.89368371488332132</v>
      </c>
      <c r="M36" s="2">
        <f>0.301778567299014*(8350/2783.333)</f>
        <v>0.90533581032049371</v>
      </c>
      <c r="N36" s="2">
        <f>0.234821748780536*(8350/2783.333)</f>
        <v>0.70446533070871498</v>
      </c>
      <c r="O36" s="2">
        <f>0.210327704265983*(8350/2783.333)</f>
        <v>0.63098318836479728</v>
      </c>
      <c r="P36" s="2">
        <f>0.298730091943389*(8350/2783.333)</f>
        <v>0.89619038315835742</v>
      </c>
      <c r="Q36" s="2">
        <f>0.579198777313289*(8350/2783.333)</f>
        <v>1.7375965400352595</v>
      </c>
      <c r="R36" s="2">
        <f>0.439175584907452*(8350/2783.333)</f>
        <v>1.3175269125100106</v>
      </c>
      <c r="S36" s="2">
        <f>0.237902058616297*(8350/2783.333)</f>
        <v>0.71370626132269388</v>
      </c>
      <c r="T36" s="2">
        <f t="shared" si="0"/>
        <v>0.10069243236843764</v>
      </c>
      <c r="U36" s="2">
        <f t="shared" si="1"/>
        <v>0.11437794326585224</v>
      </c>
      <c r="V36" s="2">
        <f t="shared" si="2"/>
        <v>0.11043877033537902</v>
      </c>
      <c r="W36" s="2">
        <f t="shared" si="3"/>
        <v>0.10705744606724045</v>
      </c>
      <c r="X36" s="2">
        <f t="shared" si="4"/>
        <v>0.11728533803050227</v>
      </c>
      <c r="Y36" s="2">
        <f t="shared" si="5"/>
        <v>0.10928020503416074</v>
      </c>
      <c r="Z36" s="2">
        <f t="shared" si="6"/>
        <v>0.10579568013572224</v>
      </c>
      <c r="AA36" s="2">
        <f t="shared" si="7"/>
        <v>0.11798772791544039</v>
      </c>
      <c r="AB36" s="2">
        <f t="shared" si="8"/>
        <v>0.10026757173055721</v>
      </c>
      <c r="AC36" s="2">
        <f t="shared" si="9"/>
        <v>0.1151901624778385</v>
      </c>
      <c r="AD36" s="2">
        <f t="shared" si="10"/>
        <v>0.10227444344259566</v>
      </c>
      <c r="AE36" s="2">
        <f t="shared" si="11"/>
        <v>0.10987695088187602</v>
      </c>
      <c r="AF36" s="2">
        <f t="shared" si="12"/>
        <v>0.11908712371493149</v>
      </c>
      <c r="AG36" s="2">
        <f t="shared" si="13"/>
        <v>9.9235315312320327E-2</v>
      </c>
      <c r="AH36" s="2">
        <f t="shared" si="14"/>
        <v>0.1199891551819615</v>
      </c>
      <c r="AI36" s="2">
        <f t="shared" si="15"/>
        <v>0.10099811712417744</v>
      </c>
      <c r="AJ36" s="2">
        <f>0.268183172298218*(8350/2783.333)</f>
        <v>0.80454961324790231</v>
      </c>
      <c r="AK36" s="2">
        <f>0.393005798232003*(8350/2783.333)</f>
        <v>1.1790175358957131</v>
      </c>
      <c r="AL36" s="2">
        <f>0.461040148596577*(8350/2783.333)</f>
        <v>1.3831206114329195</v>
      </c>
      <c r="AM36" s="2">
        <f>0.859609121385419*(8350/2783.333)</f>
        <v>2.5788276729978956</v>
      </c>
      <c r="AN36" s="2">
        <f>0.39533649882278*(8350/2783.333)</f>
        <v>1.1860096385054213</v>
      </c>
      <c r="AO36" s="2">
        <f>0.228038346788994*(8350/2783.333)</f>
        <v>0.68411512229693705</v>
      </c>
      <c r="AP36" s="2">
        <f>0.224057510187982*(8350/2783.333)</f>
        <v>0.67217261106365989</v>
      </c>
      <c r="AQ36" s="2">
        <f>0.225125385319621*(8350/2783.333)</f>
        <v>0.67537623684224557</v>
      </c>
      <c r="AR36" s="2">
        <f>0.16170667811425*(8350/2783.333)</f>
        <v>0.48512009244096466</v>
      </c>
      <c r="AS36" s="2">
        <f>0.178951812289809*(8350/2783.333)</f>
        <v>0.536855501163499</v>
      </c>
      <c r="AT36" s="2">
        <f>0.179853457436461*(8350/2783.333)</f>
        <v>0.53956043692739886</v>
      </c>
      <c r="AU36" s="2">
        <f>0.158565298286213*(8350/2783.333)</f>
        <v>0.47569595182821345</v>
      </c>
      <c r="AV36" s="2">
        <f>0.142348990967712*(8350/2783.333)</f>
        <v>0.42704702404649159</v>
      </c>
      <c r="AW36" s="2">
        <f>0.118906683801557*(8350/2783.333)</f>
        <v>0.35672009412564065</v>
      </c>
    </row>
    <row r="37" spans="1:49" x14ac:dyDescent="0.25">
      <c r="A37" s="5">
        <v>45659</v>
      </c>
      <c r="B37" s="2">
        <f>0.309594418713108*(8350/2783.333)</f>
        <v>0.92878336737086431</v>
      </c>
      <c r="C37" s="2">
        <f>0.346976817955306*(8350/2783.333)</f>
        <v>1.0409305785282628</v>
      </c>
      <c r="D37" s="2">
        <f>0.230424179907738*(8350/2783.333)</f>
        <v>0.69127262251035382</v>
      </c>
      <c r="E37" s="2">
        <f>0.365533081458556*(8350/2783.333)</f>
        <v>1.0965993757049348</v>
      </c>
      <c r="F37" s="2">
        <f>0.328084330392731*(8350/2783.333)</f>
        <v>0.98425310905281649</v>
      </c>
      <c r="G37" s="2">
        <f>0.407942683069901*(8350/2783.333)</f>
        <v>1.2238281957759543</v>
      </c>
      <c r="H37" s="2">
        <f>0.3963231365604*(8350/2783.333)</f>
        <v>1.1889695520727626</v>
      </c>
      <c r="I37" s="2">
        <f>0.330384885038713*(8350/2783.333)</f>
        <v>0.99115477381731099</v>
      </c>
      <c r="J37" s="2">
        <f>0.208355003204173*(8350/2783.333)</f>
        <v>0.62506508447061293</v>
      </c>
      <c r="K37" s="2">
        <f>0.265032706347274*(8350/2783.333)</f>
        <v>0.79509821426316463</v>
      </c>
      <c r="L37" s="2">
        <f>0.246719915948888*(8350/2783.333)</f>
        <v>0.74015983648856087</v>
      </c>
      <c r="M37" s="2">
        <f>0.267415460365696*(8350/2783.333)</f>
        <v>0.8022464771745107</v>
      </c>
      <c r="N37" s="2">
        <f>0.20999998674501*(8350/2783.333)</f>
        <v>0.63000003568413576</v>
      </c>
      <c r="O37" s="2">
        <f>0.193801956073656*(8350/2783.333)</f>
        <v>0.58140593785042072</v>
      </c>
      <c r="P37" s="2">
        <f>0.21510290891739*(8350/2783.333)</f>
        <v>0.64530880403466151</v>
      </c>
      <c r="Q37" s="2">
        <f>0.30422085616211*(8350/2783.333)</f>
        <v>0.91266267778724941</v>
      </c>
      <c r="R37" s="2">
        <f>0.685932714393588*(8350/2783.333)</f>
        <v>2.0577983896236862</v>
      </c>
      <c r="S37" s="2">
        <f>0.202463280454543*(8350/2783.333)</f>
        <v>0.60738991410493481</v>
      </c>
      <c r="T37" s="2">
        <f t="shared" si="0"/>
        <v>0.10069243236843764</v>
      </c>
      <c r="U37" s="2">
        <f t="shared" si="1"/>
        <v>0.11437794326585224</v>
      </c>
      <c r="V37" s="2">
        <f t="shared" si="2"/>
        <v>0.11043877033537902</v>
      </c>
      <c r="W37" s="2">
        <f t="shared" si="3"/>
        <v>0.10705744606724045</v>
      </c>
      <c r="X37" s="2">
        <f t="shared" si="4"/>
        <v>0.11728533803050227</v>
      </c>
      <c r="Y37" s="2">
        <f t="shared" si="5"/>
        <v>0.10928020503416074</v>
      </c>
      <c r="Z37" s="2">
        <f t="shared" si="6"/>
        <v>0.10579568013572224</v>
      </c>
      <c r="AA37" s="2">
        <f t="shared" si="7"/>
        <v>0.11798772791544039</v>
      </c>
      <c r="AB37" s="2">
        <f t="shared" si="8"/>
        <v>0.10026757173055721</v>
      </c>
      <c r="AC37" s="2">
        <f t="shared" si="9"/>
        <v>0.1151901624778385</v>
      </c>
      <c r="AD37" s="2">
        <f t="shared" si="10"/>
        <v>0.10227444344259566</v>
      </c>
      <c r="AE37" s="2">
        <f t="shared" si="11"/>
        <v>0.10987695088187602</v>
      </c>
      <c r="AF37" s="2">
        <f t="shared" si="12"/>
        <v>0.11908712371493149</v>
      </c>
      <c r="AG37" s="2">
        <f t="shared" si="13"/>
        <v>9.9235315312320327E-2</v>
      </c>
      <c r="AH37" s="2">
        <f t="shared" si="14"/>
        <v>0.1199891551819615</v>
      </c>
      <c r="AI37" s="2">
        <f t="shared" si="15"/>
        <v>0.10099811712417744</v>
      </c>
      <c r="AJ37" s="2">
        <f>0.309722001698847*(8350/2783.333)</f>
        <v>0.92916611637391955</v>
      </c>
      <c r="AK37" s="2">
        <f>0.874445395455951*(8350/2783.333)</f>
        <v>2.6233365005398892</v>
      </c>
      <c r="AL37" s="2">
        <f>0.671440016908731*(8350/2783.333)</f>
        <v>2.0143202919621563</v>
      </c>
      <c r="AM37" s="2">
        <f>0.42732587233808*(8350/2783.333)</f>
        <v>1.2819777705445128</v>
      </c>
      <c r="AN37" s="2">
        <f>0.453410281446393*(8350/2783.333)</f>
        <v>1.3602310072410961</v>
      </c>
      <c r="AO37" s="2">
        <f>0.174162794962537*(8350/2783.333)</f>
        <v>0.52248844746107681</v>
      </c>
      <c r="AP37" s="2">
        <f>0.202567979471068*(8350/2783.333)</f>
        <v>0.60770401119212658</v>
      </c>
      <c r="AQ37" s="2">
        <f>0.192432233049729*(8350/2783.333)</f>
        <v>0.57729676828652454</v>
      </c>
      <c r="AR37" s="2">
        <f>0.215608904152333*(8350/2783.333)</f>
        <v>0.6468267899212865</v>
      </c>
      <c r="AS37" s="2">
        <f>0.249535680749132*(8350/2783.333)</f>
        <v>0.74860713190094386</v>
      </c>
      <c r="AT37" s="2">
        <f>0.455617828820351*(8350/2783.333)</f>
        <v>1.3668536501560995</v>
      </c>
      <c r="AU37" s="2">
        <f>0.19804075957504*(8350/2783.333)</f>
        <v>0.5941223498774969</v>
      </c>
      <c r="AV37" s="2">
        <f>0.203842515901533*(8350/2783.333)</f>
        <v>0.61152762094143975</v>
      </c>
      <c r="AW37" s="2">
        <f>0.156677042185581*(8350/2783.333)</f>
        <v>0.47003118284790291</v>
      </c>
    </row>
    <row r="38" spans="1:49" x14ac:dyDescent="0.25">
      <c r="A38" s="5">
        <v>45660</v>
      </c>
      <c r="B38" s="2">
        <f>0.614519238350603*(8350/2783.333)</f>
        <v>1.8435579358371907</v>
      </c>
      <c r="C38" s="2">
        <f>0.611294338558379*(8350/2783.333)</f>
        <v>1.8338832353018708</v>
      </c>
      <c r="D38" s="2">
        <f>0.490580512061635*(8350/2783.333)</f>
        <v>1.4717417124413983</v>
      </c>
      <c r="E38" s="2">
        <f>0.508225336324507*(8350/2783.333)</f>
        <v>1.524676191569472</v>
      </c>
      <c r="F38" s="2">
        <f>0.427681359261953*(8350/2783.333)</f>
        <v>1.2830442314438504</v>
      </c>
      <c r="G38" s="2">
        <f>0.468115413325276*(8350/2783.333)</f>
        <v>1.4043464081610255</v>
      </c>
      <c r="H38" s="2">
        <f>0.271696222533575*(8350/2783.333)</f>
        <v>0.8150887652161467</v>
      </c>
      <c r="I38" s="2">
        <f>0.265612672033945*(8350/2783.333)</f>
        <v>0.79683811153154793</v>
      </c>
      <c r="J38" s="2">
        <f>0.222218929272892*(8350/2783.333)</f>
        <v>0.66665686765782151</v>
      </c>
      <c r="K38" s="2">
        <f>0.312172911033548*(8350/2783.333)</f>
        <v>0.93651884525858886</v>
      </c>
      <c r="L38" s="2">
        <f>0.284996867495765*(8350/2783.333)</f>
        <v>0.85499070488139017</v>
      </c>
      <c r="M38" s="2">
        <f>0.294729724851154*(8350/2783.333)</f>
        <v>0.8841892804443946</v>
      </c>
      <c r="N38" s="2">
        <f>0.220243888537449*(8350/2783.333)</f>
        <v>0.66073174474189844</v>
      </c>
      <c r="O38" s="2">
        <f>0.209200948707415*(8350/2783.333)</f>
        <v>0.62760292128427175</v>
      </c>
      <c r="P38" s="2">
        <f>0.272003878811369*(8350/2783.333)</f>
        <v>0.8160117341600629</v>
      </c>
      <c r="Q38" s="2">
        <f>0.524957849470432*(8350/2783.333)</f>
        <v>1.5748737370189285</v>
      </c>
      <c r="R38" s="2">
        <f>0.363250314296333*(8350/2783.333)</f>
        <v>1.0897510733981111</v>
      </c>
      <c r="S38" s="2">
        <f>0.153619399248995*(8350/2783.333)</f>
        <v>0.46085825293958893</v>
      </c>
      <c r="T38" s="2">
        <f t="shared" si="0"/>
        <v>0.10069243236843764</v>
      </c>
      <c r="U38" s="2">
        <f t="shared" si="1"/>
        <v>0.11437794326585224</v>
      </c>
      <c r="V38" s="2">
        <f t="shared" si="2"/>
        <v>0.11043877033537902</v>
      </c>
      <c r="W38" s="2">
        <f t="shared" si="3"/>
        <v>0.10705744606724045</v>
      </c>
      <c r="X38" s="2">
        <f t="shared" si="4"/>
        <v>0.11728533803050227</v>
      </c>
      <c r="Y38" s="2">
        <f t="shared" si="5"/>
        <v>0.10928020503416074</v>
      </c>
      <c r="Z38" s="2">
        <f t="shared" si="6"/>
        <v>0.10579568013572224</v>
      </c>
      <c r="AA38" s="2">
        <f t="shared" si="7"/>
        <v>0.11798772791544039</v>
      </c>
      <c r="AB38" s="2">
        <f t="shared" si="8"/>
        <v>0.10026757173055721</v>
      </c>
      <c r="AC38" s="2">
        <f t="shared" si="9"/>
        <v>0.1151901624778385</v>
      </c>
      <c r="AD38" s="2">
        <f t="shared" si="10"/>
        <v>0.10227444344259566</v>
      </c>
      <c r="AE38" s="2">
        <f t="shared" si="11"/>
        <v>0.10987695088187602</v>
      </c>
      <c r="AF38" s="2">
        <f t="shared" si="12"/>
        <v>0.11908712371493149</v>
      </c>
      <c r="AG38" s="2">
        <f t="shared" si="13"/>
        <v>9.9235315312320327E-2</v>
      </c>
      <c r="AH38" s="2">
        <f t="shared" si="14"/>
        <v>0.1199891551819615</v>
      </c>
      <c r="AI38" s="2">
        <f t="shared" si="15"/>
        <v>0.10099811712417744</v>
      </c>
      <c r="AJ38" s="2">
        <f>0.255600242224305*(8350/2783.333)</f>
        <v>0.7668008185053492</v>
      </c>
      <c r="AK38" s="2">
        <f>0.61903659294362*(8350/2783.333)</f>
        <v>1.8571100012392423</v>
      </c>
      <c r="AL38" s="2">
        <f>0.504442307223811*(8350/2783.333)</f>
        <v>1.5133271029082125</v>
      </c>
      <c r="AM38" s="2">
        <f>0.690066837928779*(8350/2783.333)</f>
        <v>2.070200761714573</v>
      </c>
      <c r="AN38" s="2">
        <f>0.414901463022179*(8350/2783.333)</f>
        <v>1.2447045381329485</v>
      </c>
      <c r="AO38" s="2">
        <f>0.152970749645758*(8350/2783.333)</f>
        <v>0.45891230389683257</v>
      </c>
      <c r="AP38" s="2">
        <f>0.191906506867327*(8350/2783.333)</f>
        <v>0.57571958955043601</v>
      </c>
      <c r="AQ38" s="2">
        <f>0.168886387632553*(8350/2783.333)</f>
        <v>0.50665922357540905</v>
      </c>
      <c r="AR38" s="2">
        <f>0.182287528056063*(8350/2783.333)</f>
        <v>0.5468626496607234</v>
      </c>
      <c r="AS38" s="2">
        <f>0.189885076652529*(8350/2783.333)</f>
        <v>0.56965529817977756</v>
      </c>
      <c r="AT38" s="2">
        <f>0.211167960964596*(8350/2783.333)</f>
        <v>0.63350395876252497</v>
      </c>
      <c r="AU38" s="2">
        <f>0.191572091548719*(8350/2783.333)</f>
        <v>0.5747163434744631</v>
      </c>
      <c r="AV38" s="2">
        <f>0.143743050726917*(8350/2783.333)</f>
        <v>0.43122920382496638</v>
      </c>
      <c r="AW38" s="2">
        <f>0.1217044881263*(8350/2783.333)</f>
        <v>0.36511350810506743</v>
      </c>
    </row>
    <row r="39" spans="1:49" x14ac:dyDescent="0.25">
      <c r="A39" s="5">
        <v>45661</v>
      </c>
      <c r="B39" s="2">
        <f>0.285779463427484*(8350/2783.333)</f>
        <v>0.85733849295772124</v>
      </c>
      <c r="C39" s="2">
        <f>0.292191004593942*(8350/2783.333)</f>
        <v>0.87657311876064259</v>
      </c>
      <c r="D39" s="2">
        <f>0.230424179907738*(8350/2783.333)</f>
        <v>0.69127262251035382</v>
      </c>
      <c r="E39" s="2">
        <f>0.220987680425515*(8350/2783.333)</f>
        <v>0.66296312067332563</v>
      </c>
      <c r="F39" s="2">
        <f>0.21091135525247*(8350/2783.333)</f>
        <v>0.63273414153395413</v>
      </c>
      <c r="G39" s="2">
        <f>0.251114543585421*(8350/2783.333)</f>
        <v>0.75334372097706848</v>
      </c>
      <c r="H39" s="2">
        <f>0.25402880560257*(8350/2783.333)</f>
        <v>0.762086508075554</v>
      </c>
      <c r="I39" s="2">
        <f>0.25070108342853*(8350/2783.333)</f>
        <v>0.75210334035784665</v>
      </c>
      <c r="J39" s="2">
        <f>0.211920012764701*(8350/2783.333)</f>
        <v>0.63576011443303804</v>
      </c>
      <c r="K39" s="2">
        <f>0.285983908430062*(8350/2783.333)</f>
        <v>0.85795182803890868</v>
      </c>
      <c r="L39" s="2">
        <f>0.260449692047224*(8350/2783.333)</f>
        <v>0.78134916971642343</v>
      </c>
      <c r="M39" s="2">
        <f>0.2722615395486*(8350/2783.333)</f>
        <v>0.81678471646432926</v>
      </c>
      <c r="N39" s="2">
        <f>0.242307677013473*(8350/2783.333)</f>
        <v>0.72692311809707955</v>
      </c>
      <c r="O39" s="2">
        <f>0.452580149358052*(8350/2783.333)</f>
        <v>1.3577406106778229</v>
      </c>
      <c r="P39" s="2">
        <f>0.427619410112326*(8350/2783.333)</f>
        <v>1.2828583839727139</v>
      </c>
      <c r="Q39" s="2">
        <f>0.72635677285217*(8350/2783.333)</f>
        <v>2.1790705795230454</v>
      </c>
      <c r="R39" s="2">
        <f>0.482348778000049*(8350/2783.333)</f>
        <v>1.4470465072991305</v>
      </c>
      <c r="S39" s="2">
        <f>0.20924287279853*(8350/2783.333)</f>
        <v>0.62772869357267991</v>
      </c>
      <c r="T39" s="2">
        <f t="shared" si="0"/>
        <v>0.10069243236843764</v>
      </c>
      <c r="U39" s="2">
        <f t="shared" si="1"/>
        <v>0.11437794326585224</v>
      </c>
      <c r="V39" s="2">
        <f t="shared" si="2"/>
        <v>0.11043877033537902</v>
      </c>
      <c r="W39" s="2">
        <f t="shared" si="3"/>
        <v>0.10705744606724045</v>
      </c>
      <c r="X39" s="2">
        <f t="shared" si="4"/>
        <v>0.11728533803050227</v>
      </c>
      <c r="Y39" s="2">
        <f t="shared" si="5"/>
        <v>0.10928020503416074</v>
      </c>
      <c r="Z39" s="2">
        <f t="shared" si="6"/>
        <v>0.10579568013572224</v>
      </c>
      <c r="AA39" s="2">
        <f t="shared" si="7"/>
        <v>0.11798772791544039</v>
      </c>
      <c r="AB39" s="2">
        <f t="shared" si="8"/>
        <v>0.10026757173055721</v>
      </c>
      <c r="AC39" s="2">
        <f t="shared" si="9"/>
        <v>0.1151901624778385</v>
      </c>
      <c r="AD39" s="2">
        <f t="shared" si="10"/>
        <v>0.10227444344259566</v>
      </c>
      <c r="AE39" s="2">
        <f t="shared" si="11"/>
        <v>0.10987695088187602</v>
      </c>
      <c r="AF39" s="2">
        <f t="shared" si="12"/>
        <v>0.11908712371493149</v>
      </c>
      <c r="AG39" s="2">
        <f t="shared" si="13"/>
        <v>9.9235315312320327E-2</v>
      </c>
      <c r="AH39" s="2">
        <f t="shared" si="14"/>
        <v>0.1199891551819615</v>
      </c>
      <c r="AI39" s="2">
        <f t="shared" si="15"/>
        <v>0.10099811712417744</v>
      </c>
      <c r="AJ39" s="2">
        <f>0.217699850435411*(8350/2783.333)</f>
        <v>0.6530996295217566</v>
      </c>
      <c r="AK39" s="2">
        <f>0.432576176086026*(8350/2783.333)</f>
        <v>1.2977286836746862</v>
      </c>
      <c r="AL39" s="2">
        <f>0.302665384334287*(8350/2783.333)</f>
        <v>0.90799626174492731</v>
      </c>
      <c r="AM39" s="2">
        <f>0.306035388851556*(8350/2783.333)</f>
        <v>0.91810627650751631</v>
      </c>
      <c r="AN39" s="2">
        <f>0.290058358130775*(8350/2783.333)</f>
        <v>0.87017517860492033</v>
      </c>
      <c r="AO39" s="2">
        <f>0.137151335536051*(8350/2783.333)</f>
        <v>0.4114540558840869</v>
      </c>
      <c r="AP39" s="2">
        <f>0.14026499894296*(8350/2783.333)</f>
        <v>0.42079504722349559</v>
      </c>
      <c r="AQ39" s="2">
        <f>0.16803941477582*(8350/2783.333)</f>
        <v>0.50411830470090879</v>
      </c>
      <c r="AR39" s="2">
        <f>0.241089956461246*(8350/2783.333)</f>
        <v>0.7232699560028929</v>
      </c>
      <c r="AS39" s="2">
        <f>0.236512233493539*(8350/2783.333)</f>
        <v>0.70953678545508259</v>
      </c>
      <c r="AT39" s="2">
        <f>0.227890889550301*(8350/2783.333)</f>
        <v>0.68367275052788001</v>
      </c>
      <c r="AU39" s="2">
        <f>0.186596193066935*(8350/2783.333)</f>
        <v>0.55978864624135993</v>
      </c>
      <c r="AV39" s="2">
        <f>0.124536005155648*(8350/2783.333)</f>
        <v>0.3736080602104237</v>
      </c>
      <c r="AW39" s="2">
        <f>0.106627431487409*(8350/2783.333)</f>
        <v>0.31988233277148931</v>
      </c>
    </row>
    <row r="40" spans="1:49" x14ac:dyDescent="0.25">
      <c r="A40" s="5">
        <v>45662</v>
      </c>
      <c r="B40" s="2">
        <f>0.29184994222578*(8350/2783.333)</f>
        <v>0.87554993153362071</v>
      </c>
      <c r="C40" s="2">
        <f>0.284501767630943*(8350/2783.333)</f>
        <v>0.8535054051090466</v>
      </c>
      <c r="D40" s="2">
        <f>0.208516278252673*(8350/2783.333)</f>
        <v>0.62554890967405519</v>
      </c>
      <c r="E40" s="2">
        <f>0.269169480769862*(8350/2783.333)</f>
        <v>0.80750853901719555</v>
      </c>
      <c r="F40" s="2">
        <f>0.220675769847492*(8350/2783.333)</f>
        <v>0.66202738882719236</v>
      </c>
      <c r="G40" s="2">
        <f>0.262959569226243*(8350/2783.333)</f>
        <v>0.78887880215523221</v>
      </c>
      <c r="H40" s="2">
        <f>0.234451397651995*(8350/2783.333)</f>
        <v>0.70335427719003163</v>
      </c>
      <c r="I40" s="2">
        <f>0.247439173421096*(8350/2783.333)</f>
        <v>0.74231760916360012</v>
      </c>
      <c r="J40" s="2">
        <f>0.2218228170995*(8350/2783.333)</f>
        <v>0.66546853099532977</v>
      </c>
      <c r="K40" s="2">
        <f>0.285983908430062*(8350/2783.333)</f>
        <v>0.85795182803890868</v>
      </c>
      <c r="L40" s="2">
        <f>0.255457046193284*(8350/2783.333)</f>
        <v>0.76637123036083743</v>
      </c>
      <c r="M40" s="2">
        <f>0.268296565671678*(8350/2783.333)</f>
        <v>0.80488979340902267</v>
      </c>
      <c r="N40" s="2">
        <f>0.213939948972871*(8350/2783.333)</f>
        <v>0.64181992378327579</v>
      </c>
      <c r="O40" s="2">
        <f>0.199060148680305*(8350/2783.333)</f>
        <v>0.59718051755954038</v>
      </c>
      <c r="P40" s="2">
        <f>0.221137860269782*(8350/2783.333)</f>
        <v>0.66341366026008286</v>
      </c>
      <c r="Q40" s="2">
        <f>0.324973906815029*(8350/2783.333)</f>
        <v>0.9749218372021935</v>
      </c>
      <c r="R40" s="2">
        <f>0.283603216694473*(8350/2783.333)</f>
        <v>0.85080975197680309</v>
      </c>
      <c r="S40" s="2">
        <f>0.23220103778158*(8350/2783.333)</f>
        <v>0.6966031967702716</v>
      </c>
      <c r="T40" s="2">
        <f t="shared" si="0"/>
        <v>0.10069243236843764</v>
      </c>
      <c r="U40" s="2">
        <f t="shared" si="1"/>
        <v>0.11437794326585224</v>
      </c>
      <c r="V40" s="2">
        <f t="shared" si="2"/>
        <v>0.11043877033537902</v>
      </c>
      <c r="W40" s="2">
        <f t="shared" si="3"/>
        <v>0.10705744606724045</v>
      </c>
      <c r="X40" s="2">
        <f t="shared" si="4"/>
        <v>0.11728533803050227</v>
      </c>
      <c r="Y40" s="2">
        <f t="shared" si="5"/>
        <v>0.10928020503416074</v>
      </c>
      <c r="Z40" s="2">
        <f t="shared" si="6"/>
        <v>0.10579568013572224</v>
      </c>
      <c r="AA40" s="2">
        <f t="shared" si="7"/>
        <v>0.11798772791544039</v>
      </c>
      <c r="AB40" s="2">
        <f t="shared" si="8"/>
        <v>0.10026757173055721</v>
      </c>
      <c r="AC40" s="2">
        <f t="shared" si="9"/>
        <v>0.1151901624778385</v>
      </c>
      <c r="AD40" s="2">
        <f t="shared" si="10"/>
        <v>0.10227444344259566</v>
      </c>
      <c r="AE40" s="2">
        <f t="shared" si="11"/>
        <v>0.10987695088187602</v>
      </c>
      <c r="AF40" s="2">
        <f t="shared" si="12"/>
        <v>0.11908712371493149</v>
      </c>
      <c r="AG40" s="2">
        <f t="shared" si="13"/>
        <v>9.9235315312320327E-2</v>
      </c>
      <c r="AH40" s="2">
        <f t="shared" si="14"/>
        <v>0.1199891551819615</v>
      </c>
      <c r="AI40" s="2">
        <f t="shared" si="15"/>
        <v>0.10099811712417744</v>
      </c>
      <c r="AJ40" s="2">
        <f>0.139776644917443*(8350/2783.333)</f>
        <v>0.4193299849714901</v>
      </c>
      <c r="AK40" s="2">
        <f>0.245216432459022*(8350/2783.333)</f>
        <v>0.73564938547878933</v>
      </c>
      <c r="AL40" s="2">
        <f>0.259550657221141*(8350/2783.333)</f>
        <v>0.77865206491516614</v>
      </c>
      <c r="AM40" s="2">
        <f>0.34734686142871*(8350/2783.333)</f>
        <v>1.042040709081425</v>
      </c>
      <c r="AN40" s="2">
        <f>0.945950491291584*(8350/2783.333)</f>
        <v>2.8378518137372462</v>
      </c>
      <c r="AO40" s="2">
        <f>0.151030632820983*(8350/2783.333)</f>
        <v>0.45309195272545799</v>
      </c>
      <c r="AP40" s="2">
        <f>0.182577718339055*(8350/2783.333)</f>
        <v>0.54773322061395635</v>
      </c>
      <c r="AQ40" s="2">
        <f>0.164143339634848*(8350/2783.333)</f>
        <v>0.49243007787820603</v>
      </c>
      <c r="AR40" s="2">
        <f>0.226226009281047*(8350/2783.333)</f>
        <v>0.67867810912195559</v>
      </c>
      <c r="AS40" s="2">
        <f>0.235065183798473*(8350/2783.333)</f>
        <v>0.70519563584998668</v>
      </c>
      <c r="AT40" s="2">
        <f>0.216578320212912*(8350/2783.333)</f>
        <v>0.6497350384513163</v>
      </c>
      <c r="AU40" s="2">
        <f>0.148613501322643*(8350/2783.333)</f>
        <v>0.44584055736200773</v>
      </c>
      <c r="AV40" s="2">
        <f>0.120508721406833*(8350/2783.333)</f>
        <v>0.36152620751705172</v>
      </c>
      <c r="AW40" s="2">
        <f>0.106782865061006*(8350/2783.333)</f>
        <v>0.3203486335481241</v>
      </c>
    </row>
    <row r="41" spans="1:49" x14ac:dyDescent="0.25">
      <c r="A41" s="5">
        <v>45663</v>
      </c>
      <c r="B41" s="2">
        <f>0.315197937603843*(8350/2783.333)</f>
        <v>0.94559392605630999</v>
      </c>
      <c r="C41" s="2">
        <f>0.319583911274624*(8350/2783.333)</f>
        <v>0.95875184864445262</v>
      </c>
      <c r="D41" s="2">
        <f>0.239422068087497*(8350/2783.333)</f>
        <v>0.71826629028240507</v>
      </c>
      <c r="E41" s="2">
        <f>0.264073328810364*(8350/2783.333)</f>
        <v>0.79222008130774757</v>
      </c>
      <c r="F41" s="2">
        <f>0.190210796311024*(8350/2783.333)</f>
        <v>0.57063245727228751</v>
      </c>
      <c r="G41" s="2">
        <f>0.229319696406309*(8350/2783.333)</f>
        <v>0.68795917160924724</v>
      </c>
      <c r="H41" s="2">
        <f>0.231586411122643*(8350/2783.333)</f>
        <v>0.69475931657263812</v>
      </c>
      <c r="I41" s="2">
        <f>0.223207841937297*(8350/2783.333)</f>
        <v>0.66962360600633597</v>
      </c>
      <c r="J41" s="2">
        <f>0.210731676244525*(8350/2783.333)</f>
        <v>0.63219510444556293</v>
      </c>
      <c r="K41" s="2">
        <f>0.28912658874248*(8350/2783.333)</f>
        <v>0.86737987010527018</v>
      </c>
      <c r="L41" s="2">
        <f>0.266274445543488*(8350/2783.333)</f>
        <v>0.79882343229794162</v>
      </c>
      <c r="M41" s="2">
        <f>0.414560046464778*(8350/2783.333)</f>
        <v>1.2436802883380802</v>
      </c>
      <c r="N41" s="2">
        <f>0.654821722270556*(8350/2783.333)</f>
        <v>1.9644654020769863</v>
      </c>
      <c r="O41" s="2">
        <f>0.469857067922758*(8350/2783.333)</f>
        <v>1.4095713725792165</v>
      </c>
      <c r="P41" s="2">
        <f>0.643584454937201*(8350/2783.333)</f>
        <v>1.9307535960395785</v>
      </c>
      <c r="Q41" s="2">
        <f>0.643816230482605*(8350/2783.333)</f>
        <v>1.9314489227590637</v>
      </c>
      <c r="R41" s="2">
        <f>0.584326837546356*(8350/2783.333)</f>
        <v>1.752980722576879</v>
      </c>
      <c r="S41" s="2">
        <f>0.305389818767811*(8350/2783.333)</f>
        <v>0.91616956602433886</v>
      </c>
      <c r="T41" s="2">
        <f t="shared" si="0"/>
        <v>0.10069243236843764</v>
      </c>
      <c r="U41" s="2">
        <f t="shared" si="1"/>
        <v>0.11437794326585224</v>
      </c>
      <c r="V41" s="2">
        <f t="shared" si="2"/>
        <v>0.11043877033537902</v>
      </c>
      <c r="W41" s="2">
        <f t="shared" si="3"/>
        <v>0.10705744606724045</v>
      </c>
      <c r="X41" s="2">
        <f t="shared" si="4"/>
        <v>0.11728533803050227</v>
      </c>
      <c r="Y41" s="2">
        <f t="shared" si="5"/>
        <v>0.10928020503416074</v>
      </c>
      <c r="Z41" s="2">
        <f t="shared" si="6"/>
        <v>0.10579568013572224</v>
      </c>
      <c r="AA41" s="2">
        <f t="shared" si="7"/>
        <v>0.11798772791544039</v>
      </c>
      <c r="AB41" s="2">
        <f t="shared" si="8"/>
        <v>0.10026757173055721</v>
      </c>
      <c r="AC41" s="2">
        <f t="shared" si="9"/>
        <v>0.1151901624778385</v>
      </c>
      <c r="AD41" s="2">
        <f t="shared" si="10"/>
        <v>0.10227444344259566</v>
      </c>
      <c r="AE41" s="2">
        <f t="shared" si="11"/>
        <v>0.10987695088187602</v>
      </c>
      <c r="AF41" s="2">
        <f t="shared" si="12"/>
        <v>0.11908712371493149</v>
      </c>
      <c r="AG41" s="2">
        <f t="shared" si="13"/>
        <v>9.9235315312320327E-2</v>
      </c>
      <c r="AH41" s="2">
        <f t="shared" si="14"/>
        <v>0.1199891551819615</v>
      </c>
      <c r="AI41" s="2">
        <f t="shared" si="15"/>
        <v>0.10099811712417744</v>
      </c>
      <c r="AJ41" s="2">
        <f>0.194353209093452*(8350/2783.333)</f>
        <v>0.58305969710786365</v>
      </c>
      <c r="AK41" s="2">
        <f>0.378017018741842*(8350/2783.333)</f>
        <v>1.1340511920400411</v>
      </c>
      <c r="AL41" s="2">
        <f>0.551868507048272*(8350/2783.333)</f>
        <v>1.6556057194209508</v>
      </c>
      <c r="AM41" s="2">
        <f>0.453104231226224*(8350/2783.333)</f>
        <v>1.359312856470632</v>
      </c>
      <c r="AN41" s="2">
        <f>0.501235749489369*(8350/2783.333)</f>
        <v>1.5037074285528287</v>
      </c>
      <c r="AO41" s="2">
        <f>0.163566772304148*(8350/2783.333)</f>
        <v>0.49070037567895458</v>
      </c>
      <c r="AP41" s="2">
        <f>0.172249416754181*(8350/2783.333)</f>
        <v>0.51674831214856809</v>
      </c>
      <c r="AQ41" s="2">
        <f>0.142969018216524*(8350/2783.333)</f>
        <v>0.42890710601569221</v>
      </c>
      <c r="AR41" s="2">
        <f>0.137859026594371*(8350/2783.333)</f>
        <v>0.4135771293133072</v>
      </c>
      <c r="AS41" s="2">
        <f>0.186830193962945*(8350/2783.333)</f>
        <v>0.56049064901346424</v>
      </c>
      <c r="AT41" s="2">
        <f>0.234121000199878*(8350/2783.333)</f>
        <v>0.70236308471497311</v>
      </c>
      <c r="AU41" s="2">
        <f>0.175483353124282*(8350/2783.333)</f>
        <v>0.52645012242076361</v>
      </c>
      <c r="AV41" s="2">
        <f>0.176580902832635*(8350/2783.333)</f>
        <v>0.52974277194015285</v>
      </c>
      <c r="AW41" s="2">
        <f>0.102119857853102*(8350/2783.333)</f>
        <v>0.30635961024907937</v>
      </c>
    </row>
    <row r="42" spans="1:49" x14ac:dyDescent="0.25">
      <c r="A42" s="5">
        <v>45664</v>
      </c>
      <c r="B42" s="2">
        <f>0.298387380931638*(8350/2783.333)</f>
        <v>0.89516224999997362</v>
      </c>
      <c r="C42" s="2">
        <f>0.252783665158575*(8350/2783.333)</f>
        <v>0.75835108629621417</v>
      </c>
      <c r="D42" s="2">
        <f>0.228076904730409*(8350/2783.333)</f>
        <v>0.68423079613503612</v>
      </c>
      <c r="E42" s="2">
        <f>0.267316334602772*(8350/2783.333)</f>
        <v>0.80194909985012353</v>
      </c>
      <c r="F42" s="2">
        <f>0.230049607858713*(8350/2783.333)</f>
        <v>0.6901489062287014</v>
      </c>
      <c r="G42" s="2">
        <f>0.273383191790166*(8350/2783.333)</f>
        <v>0.82014967359201618</v>
      </c>
      <c r="H42" s="2">
        <f>0.253073810092785*(8350/2783.333)</f>
        <v>0.75922152120308894</v>
      </c>
      <c r="I42" s="2">
        <f>0.26840859489746*(8350/2783.333)</f>
        <v>0.80522588112661653</v>
      </c>
      <c r="J42" s="2">
        <f>0.200828871909726*(8350/2783.333)</f>
        <v>0.60248668788327109</v>
      </c>
      <c r="K42" s="2">
        <f>0.286507688482132*(8350/2783.333)</f>
        <v>0.85952316838330201</v>
      </c>
      <c r="L42" s="2">
        <f>0.277923952536016*(8350/2783.333)</f>
        <v>0.83377195746097643</v>
      </c>
      <c r="M42" s="2">
        <f>0.289002540362268*(8350/2783.333)</f>
        <v>0.8670077249200645</v>
      </c>
      <c r="N42" s="2">
        <f>0.488555316254807*(8350/2783.333)</f>
        <v>1.4656661242932993</v>
      </c>
      <c r="O42" s="2">
        <f>0.437932327096671*(8350/2783.333)</f>
        <v>1.3137971386309886</v>
      </c>
      <c r="P42" s="2">
        <f>0.49486601089612*(8350/2783.333)</f>
        <v>1.4845982104845519</v>
      </c>
      <c r="Q42" s="2">
        <f>0.766919553673785*(8350/2783.333)</f>
        <v>2.3007589365613459</v>
      </c>
      <c r="R42" s="2">
        <f>0.54301455794913*(8350/2783.333)</f>
        <v>1.6290438689424629</v>
      </c>
      <c r="S42" s="2">
        <f>0.192910218515287*(8350/2783.333)</f>
        <v>0.57873072485493071</v>
      </c>
      <c r="T42" s="2">
        <f t="shared" si="0"/>
        <v>0.10069243236843764</v>
      </c>
      <c r="U42" s="2">
        <f t="shared" si="1"/>
        <v>0.11437794326585224</v>
      </c>
      <c r="V42" s="2">
        <f t="shared" si="2"/>
        <v>0.11043877033537902</v>
      </c>
      <c r="W42" s="2">
        <f t="shared" si="3"/>
        <v>0.10705744606724045</v>
      </c>
      <c r="X42" s="2">
        <f t="shared" si="4"/>
        <v>0.11728533803050227</v>
      </c>
      <c r="Y42" s="2">
        <f t="shared" si="5"/>
        <v>0.10928020503416074</v>
      </c>
      <c r="Z42" s="2">
        <f t="shared" si="6"/>
        <v>0.10579568013572224</v>
      </c>
      <c r="AA42" s="2">
        <f t="shared" si="7"/>
        <v>0.11798772791544039</v>
      </c>
      <c r="AB42" s="2">
        <f t="shared" si="8"/>
        <v>0.10026757173055721</v>
      </c>
      <c r="AC42" s="2">
        <f t="shared" si="9"/>
        <v>0.1151901624778385</v>
      </c>
      <c r="AD42" s="2">
        <f t="shared" si="10"/>
        <v>0.10227444344259566</v>
      </c>
      <c r="AE42" s="2">
        <f t="shared" si="11"/>
        <v>0.10987695088187602</v>
      </c>
      <c r="AF42" s="2">
        <f t="shared" si="12"/>
        <v>0.11908712371493149</v>
      </c>
      <c r="AG42" s="2">
        <f t="shared" si="13"/>
        <v>9.9235315312320327E-2</v>
      </c>
      <c r="AH42" s="2">
        <f t="shared" si="14"/>
        <v>0.1199891551819615</v>
      </c>
      <c r="AI42" s="2">
        <f t="shared" si="15"/>
        <v>0.10099811712417744</v>
      </c>
      <c r="AJ42" s="2">
        <f>0.276066453790308*(8350/2783.333)</f>
        <v>0.82819946055648941</v>
      </c>
      <c r="AK42" s="2">
        <f>0.556083719084946*(8350/2783.333)</f>
        <v>1.6682513570454212</v>
      </c>
      <c r="AL42" s="2">
        <f>0.491795320603955*(8350/2783.333)</f>
        <v>1.4753861385048159</v>
      </c>
      <c r="AM42" s="2">
        <f>0.457400624374248*(8350/2783.333)</f>
        <v>1.3722020374583186</v>
      </c>
      <c r="AN42" s="2">
        <f>0.424528667628232*(8350/2783.333)</f>
        <v>1.2735861554099852</v>
      </c>
      <c r="AO42" s="2">
        <f>0.209234137564247*(8350/2783.333)</f>
        <v>0.62770248786669192</v>
      </c>
      <c r="AP42" s="2">
        <f>0.234385811772855*(8350/2783.333)</f>
        <v>0.70315751952904759</v>
      </c>
      <c r="AQ42" s="2">
        <f>0.20479803675803*(8350/2783.333)</f>
        <v>0.61439418385423261</v>
      </c>
      <c r="AR42" s="2">
        <f>0.326680157806566*(8350/2783.333)</f>
        <v>0.98004059078982764</v>
      </c>
      <c r="AS42" s="2">
        <f>0.212394738575775*(8350/2783.333)</f>
        <v>0.63718429203682136</v>
      </c>
      <c r="AT42" s="2">
        <f>0.192641579296118*(8350/2783.333)</f>
        <v>0.57792480710090544</v>
      </c>
      <c r="AU42" s="2">
        <f>0.149608681019*(8350/2783.333)</f>
        <v>0.44882609680862834</v>
      </c>
      <c r="AV42" s="2">
        <f>0.131351408422872*(8350/2783.333)</f>
        <v>0.39405427246074531</v>
      </c>
      <c r="AW42" s="2">
        <f>0.101187256411521*(8350/2783.333)</f>
        <v>0.30356180558927054</v>
      </c>
    </row>
    <row r="43" spans="1:49" x14ac:dyDescent="0.25">
      <c r="A43" s="5">
        <v>45665</v>
      </c>
      <c r="B43" s="2">
        <f>0.274105465738453*(8350/2783.333)</f>
        <v>0.82231649569637577</v>
      </c>
      <c r="C43" s="2">
        <f>0.298919086936566*(8350/2783.333)</f>
        <v>0.89675736820578944</v>
      </c>
      <c r="D43" s="2">
        <f>0.238639643028387*(8350/2783.333)</f>
        <v>0.71591901482396569</v>
      </c>
      <c r="E43" s="2">
        <f>0.285847796273674*(8350/2783.333)</f>
        <v>0.85754349152084219</v>
      </c>
      <c r="F43" s="2">
        <f>0.248797283881154*(8350/2783.333)</f>
        <v>0.74639194103171957</v>
      </c>
      <c r="G43" s="2">
        <f>0.294704237943645*(8350/2783.333)</f>
        <v>0.88411281971271072</v>
      </c>
      <c r="H43" s="2">
        <f>0.312283531699399*(8350/2783.333)</f>
        <v>0.9368507072958876</v>
      </c>
      <c r="I43" s="2">
        <f>0.322929090736006*(8350/2783.333)</f>
        <v>0.96878738823046018</v>
      </c>
      <c r="J43" s="2">
        <f>0.276090184854199*(8350/2783.333)</f>
        <v>0.82827065375668663</v>
      </c>
      <c r="K43" s="2">
        <f>0.364027136188449*(8350/2783.333)</f>
        <v>1.0920815393535559</v>
      </c>
      <c r="L43" s="2">
        <f>0.338251756604462*(8350/2783.333)</f>
        <v>1.0147553913409784</v>
      </c>
      <c r="M43" s="2">
        <f>0.734401272536434*(8350/2783.333)</f>
        <v>2.2032040814660778</v>
      </c>
      <c r="N43" s="2">
        <f>0.660337669389562*(8350/2783.333)</f>
        <v>1.9810132454157818</v>
      </c>
      <c r="O43" s="2">
        <f>0.559997512608179*(8350/2783.333)</f>
        <v>1.6799927390212732</v>
      </c>
      <c r="P43" s="2">
        <f>0.725487366148231*(8350/2783.333)</f>
        <v>2.1764623590988688</v>
      </c>
      <c r="Q43" s="2">
        <f>0.905116004612541*(8350/2783.333)</f>
        <v>2.7153483390290418</v>
      </c>
      <c r="R43" s="2">
        <f>0.53854836556024*(8350/2783.333)</f>
        <v>1.6156452901711742</v>
      </c>
      <c r="S43" s="2">
        <f>0.204928586761447*(8350/2783.333)</f>
        <v>0.61478583391138786</v>
      </c>
      <c r="T43" s="2">
        <f t="shared" si="0"/>
        <v>0.10069243236843764</v>
      </c>
      <c r="U43" s="2">
        <f t="shared" si="1"/>
        <v>0.11437794326585224</v>
      </c>
      <c r="V43" s="2">
        <f t="shared" si="2"/>
        <v>0.11043877033537902</v>
      </c>
      <c r="W43" s="2">
        <f t="shared" si="3"/>
        <v>0.10705744606724045</v>
      </c>
      <c r="X43" s="2">
        <f t="shared" si="4"/>
        <v>0.11728533803050227</v>
      </c>
      <c r="Y43" s="2">
        <f t="shared" si="5"/>
        <v>0.10928020503416074</v>
      </c>
      <c r="Z43" s="2">
        <f t="shared" si="6"/>
        <v>0.10579568013572224</v>
      </c>
      <c r="AA43" s="2">
        <f t="shared" si="7"/>
        <v>0.11798772791544039</v>
      </c>
      <c r="AB43" s="2">
        <f t="shared" si="8"/>
        <v>0.10026757173055721</v>
      </c>
      <c r="AC43" s="2">
        <f t="shared" si="9"/>
        <v>0.1151901624778385</v>
      </c>
      <c r="AD43" s="2">
        <f t="shared" si="10"/>
        <v>0.10227444344259566</v>
      </c>
      <c r="AE43" s="2">
        <f t="shared" si="11"/>
        <v>0.10987695088187602</v>
      </c>
      <c r="AF43" s="2">
        <f t="shared" si="12"/>
        <v>0.11908712371493149</v>
      </c>
      <c r="AG43" s="2">
        <f t="shared" si="13"/>
        <v>9.9235315312320327E-2</v>
      </c>
      <c r="AH43" s="2">
        <f t="shared" si="14"/>
        <v>0.1199891551819615</v>
      </c>
      <c r="AI43" s="2">
        <f t="shared" si="15"/>
        <v>0.10099811712417744</v>
      </c>
      <c r="AJ43" s="2">
        <f>0.238166062001414*(8350/2783.333)</f>
        <v>0.71449827157289636</v>
      </c>
      <c r="AK43" s="2">
        <f>0.378017018741842*(8350/2783.333)</f>
        <v>1.1340511920400411</v>
      </c>
      <c r="AL43" s="2">
        <f>0.479723197012274*(8350/2783.333)</f>
        <v>1.4391697633924829</v>
      </c>
      <c r="AM43" s="2">
        <f>0.411131775087836*(8350/2783.333)</f>
        <v>1.233395472975541</v>
      </c>
      <c r="AN43" s="2">
        <f>0.366765439991911*(8350/2783.333)</f>
        <v>1.1002964517477634</v>
      </c>
      <c r="AO43" s="2">
        <f>0.180281624948367*(8350/2783.333)</f>
        <v>0.54084493961694968</v>
      </c>
      <c r="AP43" s="2">
        <f>0.199902611320133*(8350/2783.333)</f>
        <v>0.59970790578170419</v>
      </c>
      <c r="AQ43" s="2">
        <f>0.233933903029644*(8350/2783.333)</f>
        <v>0.70180179313705116</v>
      </c>
      <c r="AR43" s="2">
        <f>0.261670806403059*(8350/2783.333)</f>
        <v>0.7850125132226522</v>
      </c>
      <c r="AS43" s="2">
        <f>0.282013907238387*(8350/2783.333)</f>
        <v>0.84604182303753561</v>
      </c>
      <c r="AT43" s="2">
        <f>0.276420172504898*(8350/2783.333)</f>
        <v>0.82926061682734209</v>
      </c>
      <c r="AU43" s="2">
        <f>0.296563549514381*(8350/2783.333)</f>
        <v>0.88969075509293527</v>
      </c>
      <c r="AV43" s="2">
        <f>0.187578485377475*(8350/2783.333)</f>
        <v>0.56273552352589939</v>
      </c>
      <c r="AW43" s="2">
        <f>0.168800860926132*(8350/2783.333)</f>
        <v>0.50640264342541919</v>
      </c>
    </row>
    <row r="44" spans="1:49" x14ac:dyDescent="0.25">
      <c r="A44" s="5">
        <v>45666</v>
      </c>
      <c r="B44" s="2">
        <f>0.261964508141861*(8350/2783.333)</f>
        <v>0.78589361854457807</v>
      </c>
      <c r="C44" s="2">
        <f>0.239808077783515*(8350/2783.333)</f>
        <v>0.7194243195091462</v>
      </c>
      <c r="D44" s="2">
        <f>0.208516278252673*(8350/2783.333)</f>
        <v>0.62554890967405519</v>
      </c>
      <c r="E44" s="2">
        <f>0.350707912121834*(8350/2783.333)</f>
        <v>1.0521238623683591</v>
      </c>
      <c r="F44" s="2">
        <f>0.358549303929199*(8350/2783.333)</f>
        <v>1.0756480406077213</v>
      </c>
      <c r="G44" s="2">
        <f>0.407468882044268*(8350/2783.333)</f>
        <v>1.2224067925288282</v>
      </c>
      <c r="H44" s="2">
        <f>0.416378042265866*(8350/2783.333)</f>
        <v>1.2491342763945166</v>
      </c>
      <c r="I44" s="2">
        <f>0.364867933688734*(8350/2783.333)</f>
        <v>1.0946039321564944</v>
      </c>
      <c r="J44" s="2">
        <f>0.21984225623254*(8350/2783.333)</f>
        <v>0.65952684768287084</v>
      </c>
      <c r="K44" s="2">
        <f>0.287031468534202*(8350/2783.333)</f>
        <v>0.86109450872769566</v>
      </c>
      <c r="L44" s="2">
        <f>0.254624938550961*(8350/2783.333)</f>
        <v>0.76387490713490636</v>
      </c>
      <c r="M44" s="2">
        <f>0.277107618731504*(8350/2783.333)</f>
        <v>0.8313229557541475</v>
      </c>
      <c r="N44" s="2">
        <f>0.31401498956055*(8350/2783.333)</f>
        <v>0.94204508150141897</v>
      </c>
      <c r="O44" s="2">
        <f>0.490514253163167*(8350/2783.333)</f>
        <v>1.4715429357221879</v>
      </c>
      <c r="P44" s="2">
        <f>0.716866007073386*(8350/2783.333)</f>
        <v>2.1505982787768376</v>
      </c>
      <c r="Q44" s="2">
        <f>0.650891134114282*(8350/2783.333)</f>
        <v>1.9526736361959758</v>
      </c>
      <c r="R44" s="2">
        <f>0.499469182157458*(8350/2783.333)</f>
        <v>1.4984077259224022</v>
      </c>
      <c r="S44" s="2">
        <f>0.310628594669983*(8350/2783.333)</f>
        <v>0.93188589561305024</v>
      </c>
      <c r="T44" s="2">
        <f t="shared" si="0"/>
        <v>0.10069243236843764</v>
      </c>
      <c r="U44" s="2">
        <f t="shared" si="1"/>
        <v>0.11437794326585224</v>
      </c>
      <c r="V44" s="2">
        <f t="shared" si="2"/>
        <v>0.11043877033537902</v>
      </c>
      <c r="W44" s="2">
        <f t="shared" si="3"/>
        <v>0.10705744606724045</v>
      </c>
      <c r="X44" s="2">
        <f t="shared" si="4"/>
        <v>0.11728533803050227</v>
      </c>
      <c r="Y44" s="2">
        <f t="shared" si="5"/>
        <v>0.10928020503416074</v>
      </c>
      <c r="Z44" s="2">
        <f t="shared" si="6"/>
        <v>0.10579568013572224</v>
      </c>
      <c r="AA44" s="2">
        <f t="shared" si="7"/>
        <v>0.11798772791544039</v>
      </c>
      <c r="AB44" s="2">
        <f t="shared" si="8"/>
        <v>0.10026757173055721</v>
      </c>
      <c r="AC44" s="2">
        <f t="shared" si="9"/>
        <v>0.1151901624778385</v>
      </c>
      <c r="AD44" s="2">
        <f t="shared" si="10"/>
        <v>0.10227444344259566</v>
      </c>
      <c r="AE44" s="2">
        <f t="shared" si="11"/>
        <v>0.10987695088187602</v>
      </c>
      <c r="AF44" s="2">
        <f t="shared" si="12"/>
        <v>0.11908712371493149</v>
      </c>
      <c r="AG44" s="2">
        <f t="shared" si="13"/>
        <v>9.9235315312320327E-2</v>
      </c>
      <c r="AH44" s="2">
        <f t="shared" si="14"/>
        <v>0.1199891551819615</v>
      </c>
      <c r="AI44" s="2">
        <f t="shared" si="15"/>
        <v>0.10099811712417744</v>
      </c>
      <c r="AJ44" s="2">
        <f>0.18616672446705*(8350/2783.333)</f>
        <v>0.55850024028740719</v>
      </c>
      <c r="AK44" s="2">
        <f>0.40679547536295*(8350/2783.333)</f>
        <v>1.2203865722429306</v>
      </c>
      <c r="AL44" s="2">
        <f>0.432871860215989*(8350/2783.333)</f>
        <v>1.2986157361708082</v>
      </c>
      <c r="AM44" s="2">
        <f>0.435588166853511*(8350/2783.333)</f>
        <v>1.306764657059295</v>
      </c>
      <c r="AN44" s="2">
        <f>0.352479910576477*(8350/2783.333)</f>
        <v>1.0574398583689344</v>
      </c>
      <c r="AO44" s="2">
        <f>0.135658937978531*(8350/2783.333)</f>
        <v>0.40697686267533734</v>
      </c>
      <c r="AP44" s="2">
        <f>0.143096952603328*(8350/2783.333)</f>
        <v>0.42929090922206953</v>
      </c>
      <c r="AQ44" s="2">
        <f>0.19039949819357*(8350/2783.333)</f>
        <v>0.5711985629877232</v>
      </c>
      <c r="AR44" s="2">
        <f>0.166443540402445*(8350/2783.333)</f>
        <v>0.49933068100741684</v>
      </c>
      <c r="AS44" s="2">
        <f>0.144544186207132*(8350/2783.333)</f>
        <v>0.4336326105534461</v>
      </c>
      <c r="AT44" s="2">
        <f>0.12689751691506*(8350/2783.333)</f>
        <v>0.38069259633710706</v>
      </c>
      <c r="AU44" s="2">
        <f>0.148281774757191*(8350/2783.333)</f>
        <v>0.4448453775464673</v>
      </c>
      <c r="AV44" s="2">
        <f>0.135843378758088*(8350/2783.333)</f>
        <v>0.40753018508027544</v>
      </c>
      <c r="AW44" s="2">
        <f>0.125279460319026*(8350/2783.333)</f>
        <v>0.3758384259676682</v>
      </c>
    </row>
    <row r="45" spans="1:49" x14ac:dyDescent="0.25">
      <c r="A45" s="5">
        <v>45667</v>
      </c>
      <c r="B45" s="2">
        <f>0.336211133444099*(8350/2783.333)</f>
        <v>1.0086335211267305</v>
      </c>
      <c r="C45" s="2">
        <f>0.361874714571116*(8350/2783.333)</f>
        <v>1.0856242737282304</v>
      </c>
      <c r="D45" s="2">
        <f>0.253505719151467*(8350/2783.333)</f>
        <v>0.76051724853431124</v>
      </c>
      <c r="E45" s="2">
        <f>0.259903749934411*(8350/2783.333)</f>
        <v>0.77971134318183588</v>
      </c>
      <c r="F45" s="2">
        <f>0.226924995188306*(8350/2783.333)</f>
        <v>0.68077506709486502</v>
      </c>
      <c r="G45" s="2">
        <f>0.262959569226243*(8350/2783.333)</f>
        <v>0.78887880215523221</v>
      </c>
      <c r="H45" s="2">
        <f>0.274083711308035*(8350/2783.333)</f>
        <v>0.82225123239730757</v>
      </c>
      <c r="I45" s="2">
        <f>0.2451092377015*(8350/2783.333)</f>
        <v>0.73532780116770935</v>
      </c>
      <c r="J45" s="2">
        <f>0.206374442337213*(8350/2783.333)</f>
        <v>0.61912340115815467</v>
      </c>
      <c r="K45" s="2">
        <f>0.246700404524834*(8350/2783.333)</f>
        <v>0.74010130220938841</v>
      </c>
      <c r="L45" s="2">
        <f>0.276259737251369*(8350/2783.333)</f>
        <v>0.82877931100911395</v>
      </c>
      <c r="M45" s="2">
        <f>0.340547200762245*(8350/2783.333)</f>
        <v>1.0216417246390388</v>
      </c>
      <c r="N45" s="2">
        <f>0.29155720486174*(8350/2783.333)</f>
        <v>0.87467171933632382</v>
      </c>
      <c r="O45" s="2">
        <f>0.604692149764701*(8350/2783.333)</f>
        <v>1.8140766665487926</v>
      </c>
      <c r="P45" s="2">
        <f>0.574613582338439*(8350/2783.333)</f>
        <v>1.7238409534633339</v>
      </c>
      <c r="Q45" s="2">
        <f>0.638627967819375*(8350/2783.333)</f>
        <v>1.9158841329053273</v>
      </c>
      <c r="R45" s="2">
        <f>0.469694566231529*(8350/2783.333)</f>
        <v>1.4090838674471471</v>
      </c>
      <c r="S45" s="2">
        <f>0.248533692064823*(8350/2783.333)</f>
        <v>0.74560116548802113</v>
      </c>
      <c r="T45" s="2">
        <f t="shared" si="0"/>
        <v>0.10069243236843764</v>
      </c>
      <c r="U45" s="2">
        <f t="shared" si="1"/>
        <v>0.11437794326585224</v>
      </c>
      <c r="V45" s="2">
        <f t="shared" si="2"/>
        <v>0.11043877033537902</v>
      </c>
      <c r="W45" s="2">
        <f t="shared" si="3"/>
        <v>0.10705744606724045</v>
      </c>
      <c r="X45" s="2">
        <f t="shared" si="4"/>
        <v>0.11728533803050227</v>
      </c>
      <c r="Y45" s="2">
        <f t="shared" si="5"/>
        <v>0.10928020503416074</v>
      </c>
      <c r="Z45" s="2">
        <f t="shared" si="6"/>
        <v>0.10579568013572224</v>
      </c>
      <c r="AA45" s="2">
        <f t="shared" si="7"/>
        <v>0.11798772791544039</v>
      </c>
      <c r="AB45" s="2">
        <f t="shared" si="8"/>
        <v>0.10026757173055721</v>
      </c>
      <c r="AC45" s="2">
        <f t="shared" si="9"/>
        <v>0.1151901624778385</v>
      </c>
      <c r="AD45" s="2">
        <f t="shared" si="10"/>
        <v>0.10227444344259566</v>
      </c>
      <c r="AE45" s="2">
        <f t="shared" si="11"/>
        <v>0.10987695088187602</v>
      </c>
      <c r="AF45" s="2">
        <f t="shared" si="12"/>
        <v>0.11908712371493149</v>
      </c>
      <c r="AG45" s="2">
        <f t="shared" si="13"/>
        <v>9.9235315312320327E-2</v>
      </c>
      <c r="AH45" s="2">
        <f t="shared" si="14"/>
        <v>0.1199891551819615</v>
      </c>
      <c r="AI45" s="2">
        <f t="shared" si="15"/>
        <v>0.10099811712417744</v>
      </c>
      <c r="AJ45" s="2">
        <f>0.175857817900471*(8350/2783.333)</f>
        <v>0.52757351688386978</v>
      </c>
      <c r="AK45" s="2">
        <f>0.301574243342025*(8350/2783.333)</f>
        <v>0.90472283837611511</v>
      </c>
      <c r="AL45" s="2">
        <f>0.256388910566177*(8350/2783.333)</f>
        <v>0.769166823814317</v>
      </c>
      <c r="AM45" s="2">
        <f>0.298764569677977*(8350/2783.333)</f>
        <v>0.89629381637450889</v>
      </c>
      <c r="AN45" s="2">
        <f>0.452478616484517*(8350/2783.333)</f>
        <v>1.357436012020738</v>
      </c>
      <c r="AO45" s="2">
        <f>0.174908993741296*(8350/2783.333)</f>
        <v>0.52472704406545134</v>
      </c>
      <c r="AP45" s="2">
        <f>0.177413567546618*(8350/2783.333)</f>
        <v>0.53224076638126216</v>
      </c>
      <c r="AQ45" s="2">
        <f>0.15855331878041*(8350/2783.333)</f>
        <v>0.47566001330650226</v>
      </c>
      <c r="AR45" s="2">
        <f>0.161543338035347*(8350/2783.333)</f>
        <v>0.48463007214556969</v>
      </c>
      <c r="AS45" s="2">
        <f>0.265935577293211*(8350/2783.333)</f>
        <v>0.7978068274253618</v>
      </c>
      <c r="AT45" s="2">
        <f>0.223628182263749*(8350/2783.333)</f>
        <v>0.67088462713671104</v>
      </c>
      <c r="AU45" s="2">
        <f>0.156906665458951*(8350/2783.333)</f>
        <v>0.47072005275051265</v>
      </c>
      <c r="AV45" s="2">
        <f>0.127014333616457*(8350/2783.333)</f>
        <v>0.38104304648326787</v>
      </c>
      <c r="AW45" s="2">
        <f>0.112844774431282*(8350/2783.333)</f>
        <v>0.33853436383688212</v>
      </c>
    </row>
    <row r="46" spans="1:49" x14ac:dyDescent="0.25">
      <c r="A46" s="5">
        <v>45668</v>
      </c>
      <c r="B46" s="2">
        <f>0.34414945187264*(8350/2783.333)</f>
        <v>1.0324484792644451</v>
      </c>
      <c r="C46" s="2">
        <f>0.26672040715401*(8350/2783.333)</f>
        <v>0.80016131728973139</v>
      </c>
      <c r="D46" s="2">
        <f>0.208907490782228*(8350/2783.333)</f>
        <v>0.62672254740327504</v>
      </c>
      <c r="E46" s="2">
        <f>0.248784872931869*(8350/2783.333)</f>
        <v>0.7463547081794043</v>
      </c>
      <c r="F46" s="2">
        <f>0.203880976744054*(8350/2783.333)</f>
        <v>0.6116430034828223</v>
      </c>
      <c r="G46" s="2">
        <f>0.251114543585421*(8350/2783.333)</f>
        <v>0.75334372097706848</v>
      </c>
      <c r="H46" s="2">
        <f>0.249253828053649*(8350/2783.333)</f>
        <v>0.74776157371323126</v>
      </c>
      <c r="I46" s="2">
        <f>0.454337465321221*(8350/2783.333)</f>
        <v>1.3630125591987003</v>
      </c>
      <c r="J46" s="2">
        <f>0.248758444890153*(8350/2783.333)</f>
        <v>0.74627542404476244</v>
      </c>
      <c r="K46" s="2">
        <f>0.278127207649017*(8350/2783.333)</f>
        <v>0.83438172287300461</v>
      </c>
      <c r="L46" s="2">
        <f>0.27417946814556*(8350/2783.333)</f>
        <v>0.82253850294428632</v>
      </c>
      <c r="M46" s="2">
        <f>0.258604407305871*(8350/2783.333)</f>
        <v>0.77581331482938698</v>
      </c>
      <c r="N46" s="2">
        <f>0.498405221824461*(8350/2783.333)</f>
        <v>1.4952158445411479</v>
      </c>
      <c r="O46" s="2">
        <f>0.319247408260867*(8350/2783.333)</f>
        <v>0.95774233948228171</v>
      </c>
      <c r="P46" s="2">
        <f>0.441413584632079*(8350/2783.333)</f>
        <v>1.3242409124879631</v>
      </c>
      <c r="Q46" s="2">
        <f>0.368366649089314*(8350/2783.333)</f>
        <v>1.1051000796152584</v>
      </c>
      <c r="R46" s="2">
        <f>0.422799546148191*(8350/2783.333)</f>
        <v>1.26839879034862</v>
      </c>
      <c r="S46" s="2">
        <f>0.156392868844262*(8350/2783.333)</f>
        <v>0.46917866272184799</v>
      </c>
      <c r="T46" s="2">
        <f t="shared" si="0"/>
        <v>0.10069243236843764</v>
      </c>
      <c r="U46" s="2">
        <f t="shared" si="1"/>
        <v>0.11437794326585224</v>
      </c>
      <c r="V46" s="2">
        <f t="shared" si="2"/>
        <v>0.11043877033537902</v>
      </c>
      <c r="W46" s="2">
        <f t="shared" si="3"/>
        <v>0.10705744606724045</v>
      </c>
      <c r="X46" s="2">
        <f t="shared" si="4"/>
        <v>0.11728533803050227</v>
      </c>
      <c r="Y46" s="2">
        <f t="shared" si="5"/>
        <v>0.10928020503416074</v>
      </c>
      <c r="Z46" s="2">
        <f t="shared" si="6"/>
        <v>0.10579568013572224</v>
      </c>
      <c r="AA46" s="2">
        <f t="shared" si="7"/>
        <v>0.11798772791544039</v>
      </c>
      <c r="AB46" s="2">
        <f t="shared" si="8"/>
        <v>0.10026757173055721</v>
      </c>
      <c r="AC46" s="2">
        <f t="shared" si="9"/>
        <v>0.1151901624778385</v>
      </c>
      <c r="AD46" s="2">
        <f t="shared" si="10"/>
        <v>0.10227444344259566</v>
      </c>
      <c r="AE46" s="2">
        <f t="shared" si="11"/>
        <v>0.10987695088187602</v>
      </c>
      <c r="AF46" s="2">
        <f t="shared" si="12"/>
        <v>0.11908712371493149</v>
      </c>
      <c r="AG46" s="2">
        <f t="shared" si="13"/>
        <v>9.9235315312320327E-2</v>
      </c>
      <c r="AH46" s="2">
        <f t="shared" si="14"/>
        <v>0.1199891551819615</v>
      </c>
      <c r="AI46" s="2">
        <f t="shared" si="15"/>
        <v>0.10099811712417744</v>
      </c>
      <c r="AJ46" s="2">
        <f>0.32230493177276*(8350/2783.333)</f>
        <v>0.96691491111647254</v>
      </c>
      <c r="AK46" s="2">
        <f>0.387010286435938*(8350/2783.333)</f>
        <v>1.1610309983534439</v>
      </c>
      <c r="AL46" s="2">
        <f>0.36446315986313*(8350/2783.333)</f>
        <v>1.0933896105342531</v>
      </c>
      <c r="AM46" s="2">
        <f>0.555226191436949*(8350/2783.333)</f>
        <v>1.6656787737933347</v>
      </c>
      <c r="AN46" s="2">
        <f>0.286642253270562*(8350/2783.333)</f>
        <v>0.85992686279693931</v>
      </c>
      <c r="AO46" s="2">
        <f>0.218188522909365*(8350/2783.333)</f>
        <v>0.65456564711918952</v>
      </c>
      <c r="AP46" s="2">
        <f>0.143763294641062*(8350/2783.333)</f>
        <v>0.43128993557467504</v>
      </c>
      <c r="AQ46" s="2">
        <f>0.154826638210785*(8350/2783.333)</f>
        <v>0.46447997025869997</v>
      </c>
      <c r="AR46" s="2">
        <f>0.165300159850122*(8350/2783.333)</f>
        <v>0.49590053893965269</v>
      </c>
      <c r="AS46" s="2">
        <f>0.200818341015249*(8350/2783.333)</f>
        <v>0.60245509519605633</v>
      </c>
      <c r="AT46" s="2">
        <f>0.23510470188139*(8350/2783.333)</f>
        <v>0.70531419011293528</v>
      </c>
      <c r="AU46" s="2">
        <f>0.181288568019697*(8350/2783.333)</f>
        <v>0.54386576919271701</v>
      </c>
      <c r="AV46" s="2">
        <f>0.184325679272663*(8350/2783.333)</f>
        <v>0.55297710404279132</v>
      </c>
      <c r="AW46" s="2">
        <f>0.113311075152072*(8350/2783.333)</f>
        <v>0.33993326616678682</v>
      </c>
    </row>
    <row r="47" spans="1:49" x14ac:dyDescent="0.25">
      <c r="A47" s="5">
        <v>45669</v>
      </c>
      <c r="B47" s="2">
        <f>0.32920673483068*(8350/2783.333)</f>
        <v>0.98762032276992351</v>
      </c>
      <c r="C47" s="2">
        <f>0.310933519691251*(8350/2783.333)</f>
        <v>0.9328006707864076</v>
      </c>
      <c r="D47" s="2">
        <f>0.258200269506124*(8350/2783.333)</f>
        <v>0.77460090128494641</v>
      </c>
      <c r="E47" s="2">
        <f>0.306232404111667*(8350/2783.333)</f>
        <v>0.91869732235863366</v>
      </c>
      <c r="F47" s="2">
        <f>0.239423445869933*(8350/2783.333)</f>
        <v>0.71827042363021021</v>
      </c>
      <c r="G47" s="2">
        <f>0.322658498455984*(8350/2783.333)</f>
        <v>0.967975611293176</v>
      </c>
      <c r="H47" s="2">
        <f>0.300346087827098*(8350/2783.333)</f>
        <v>0.90103837139008092</v>
      </c>
      <c r="I47" s="2">
        <f>0.237187456254873*(8350/2783.333)</f>
        <v>0.7115624539816805</v>
      </c>
      <c r="J47" s="2">
        <f>0.203997769296861*(8350/2783.333)</f>
        <v>0.61199338118320468</v>
      </c>
      <c r="K47" s="2">
        <f>0.262937586138995*(8350/2783.333)</f>
        <v>0.78881285288559011</v>
      </c>
      <c r="L47" s="2">
        <f>0.281252383105309*(8350/2783.333)</f>
        <v>0.8437572503647004</v>
      </c>
      <c r="M47" s="2">
        <f>0.28635922444432*(8350/2783.333)</f>
        <v>0.85907777621652714</v>
      </c>
      <c r="N47" s="2">
        <f>0.207242013185507*(8350/2783.333)</f>
        <v>0.62172611401473854</v>
      </c>
      <c r="O47" s="2">
        <f>0.217463822803579*(8350/2783.333)</f>
        <v>0.65239154654145992</v>
      </c>
      <c r="P47" s="2">
        <f>0.449603875753182*(8350/2783.333)</f>
        <v>1.3488117887938913</v>
      </c>
      <c r="Q47" s="2">
        <f>0.830122026116766*(8350/2783.333)</f>
        <v>2.4903663765977671</v>
      </c>
      <c r="R47" s="2">
        <f>0.438431219509304*(8350/2783.333)</f>
        <v>1.3152938160481291</v>
      </c>
      <c r="S47" s="2">
        <f>0.212478587326343*(8350/2783.333)</f>
        <v>0.63743583831864914</v>
      </c>
      <c r="T47" s="2">
        <f t="shared" si="0"/>
        <v>0.10069243236843764</v>
      </c>
      <c r="U47" s="2">
        <f t="shared" si="1"/>
        <v>0.11437794326585224</v>
      </c>
      <c r="V47" s="2">
        <f t="shared" si="2"/>
        <v>0.11043877033537902</v>
      </c>
      <c r="W47" s="2">
        <f t="shared" si="3"/>
        <v>0.10705744606724045</v>
      </c>
      <c r="X47" s="2">
        <f t="shared" si="4"/>
        <v>0.11728533803050227</v>
      </c>
      <c r="Y47" s="2">
        <f t="shared" si="5"/>
        <v>0.10928020503416074</v>
      </c>
      <c r="Z47" s="2">
        <f t="shared" si="6"/>
        <v>0.10579568013572224</v>
      </c>
      <c r="AA47" s="2">
        <f t="shared" si="7"/>
        <v>0.11798772791544039</v>
      </c>
      <c r="AB47" s="2">
        <f t="shared" si="8"/>
        <v>0.10026757173055721</v>
      </c>
      <c r="AC47" s="2">
        <f t="shared" si="9"/>
        <v>0.1151901624778385</v>
      </c>
      <c r="AD47" s="2">
        <f t="shared" si="10"/>
        <v>0.10227444344259566</v>
      </c>
      <c r="AE47" s="2">
        <f t="shared" si="11"/>
        <v>0.10987695088187602</v>
      </c>
      <c r="AF47" s="2">
        <f t="shared" si="12"/>
        <v>0.11908712371493149</v>
      </c>
      <c r="AG47" s="2">
        <f t="shared" si="13"/>
        <v>9.9235315312320327E-2</v>
      </c>
      <c r="AH47" s="2">
        <f t="shared" si="14"/>
        <v>0.1199891551819615</v>
      </c>
      <c r="AI47" s="2">
        <f t="shared" si="15"/>
        <v>0.10099811712417744</v>
      </c>
      <c r="AJ47" s="2">
        <f>0.152511176558512*(8350/2783.333)</f>
        <v>0.45753358446997694</v>
      </c>
      <c r="AK47" s="2">
        <f>0.330052924373329*(8350/2783.333)</f>
        <v>0.99015889170189142</v>
      </c>
      <c r="AL47" s="2">
        <f>0.879827864622272*(8350/2783.333)</f>
        <v>2.6394839099726721</v>
      </c>
      <c r="AM47" s="2">
        <f>0.355278664163524*(8350/2783.333)</f>
        <v>1.0658361201356159</v>
      </c>
      <c r="AN47" s="2">
        <f>0.323287741771024*(8350/2783.333)</f>
        <v>0.96986334146437037</v>
      </c>
      <c r="AO47" s="2">
        <f>0.160134257921852*(8350/2783.333)</f>
        <v>0.48040283129883044</v>
      </c>
      <c r="AP47" s="2">
        <f>0.193072605433361*(8350/2783.333)</f>
        <v>0.57921788566749588</v>
      </c>
      <c r="AQ47" s="2">
        <f>0.169225176775246*(8350/2783.333)</f>
        <v>0.50767559112520932</v>
      </c>
      <c r="AR47" s="2">
        <f>0.22540930888653*(8350/2783.333)</f>
        <v>0.67622800764498103</v>
      </c>
      <c r="AS47" s="2">
        <f>0.209018289287288*(8350/2783.333)</f>
        <v>0.62705494295826492</v>
      </c>
      <c r="AT47" s="2">
        <f>0.211823762085604*(8350/2783.333)</f>
        <v>0.63547136236116586</v>
      </c>
      <c r="AU47" s="2">
        <f>0.150769723998083*(8350/2783.333)</f>
        <v>0.45230922616301894</v>
      </c>
      <c r="AV47" s="2">
        <f>0.107032810401185*(8350/2783.333)</f>
        <v>0.32109846965846095</v>
      </c>
      <c r="AW47" s="2">
        <f>0.0814471925647267*(8350/2783.333)</f>
        <v>0.24434160695664792</v>
      </c>
    </row>
    <row r="48" spans="1:49" x14ac:dyDescent="0.25">
      <c r="A48" s="5">
        <v>45670</v>
      </c>
      <c r="B48" s="2">
        <f>0.249823550545268*(8350/2783.333)</f>
        <v>0.74947074139277869</v>
      </c>
      <c r="C48" s="2">
        <f>0.254705974399325*(8350/2783.333)</f>
        <v>0.764118014709113</v>
      </c>
      <c r="D48" s="2">
        <f>0.196779902366031*(8350/2783.333)</f>
        <v>0.59033977779746671</v>
      </c>
      <c r="E48" s="2">
        <f>0.239055855554645*(8350/2783.333)</f>
        <v>0.71716765255227688</v>
      </c>
      <c r="F48" s="2">
        <f>0.200365787489846*(8350/2783.333)</f>
        <v>0.60109743445725616</v>
      </c>
      <c r="G48" s="2">
        <f>0.231688701534473*(8350/2783.333)</f>
        <v>0.69506618784488006</v>
      </c>
      <c r="H48" s="2">
        <f>0.232541406632427*(8350/2783.333)</f>
        <v>0.69762430344510296</v>
      </c>
      <c r="I48" s="2">
        <f>0.21016020190756*(8350/2783.333)</f>
        <v>0.63048068122934775</v>
      </c>
      <c r="J48" s="2">
        <f>0.205582217990429*(8350/2783.333)</f>
        <v>0.61674672783317175</v>
      </c>
      <c r="K48" s="2">
        <f>0.265556486399343*(8350/2783.333)</f>
        <v>0.79666955460755795</v>
      </c>
      <c r="L48" s="2">
        <f>0.377776869614824*(8350/2783.333)</f>
        <v>1.1333307445727043</v>
      </c>
      <c r="M48" s="2">
        <f>0.635717478266391*(8350/2783.333)</f>
        <v>1.9071526632006903</v>
      </c>
      <c r="N48" s="2">
        <f>0.59532829262985*(8350/2783.333)</f>
        <v>1.78598509177998</v>
      </c>
      <c r="O48" s="2">
        <f>0.566758045959586*(8350/2783.333)</f>
        <v>1.700274341504427</v>
      </c>
      <c r="P48" s="2">
        <f>0.89274173220023*(8350/2783.333)</f>
        <v>2.6782255173462608</v>
      </c>
      <c r="Q48" s="2">
        <f>0.703245420988692*(8350/2783.333)</f>
        <v>2.1097365156291308</v>
      </c>
      <c r="R48" s="2">
        <f>0.742504484652854*(8350/2783.333)</f>
        <v>2.2275137207266709</v>
      </c>
      <c r="S48" s="2">
        <f>0.334049004585577*(8350/2783.333)</f>
        <v>1.0021471337743524</v>
      </c>
      <c r="T48" s="2">
        <f t="shared" si="0"/>
        <v>0.10069243236843764</v>
      </c>
      <c r="U48" s="2">
        <f t="shared" si="1"/>
        <v>0.11437794326585224</v>
      </c>
      <c r="V48" s="2">
        <f t="shared" si="2"/>
        <v>0.11043877033537902</v>
      </c>
      <c r="W48" s="2">
        <f t="shared" si="3"/>
        <v>0.10705744606724045</v>
      </c>
      <c r="X48" s="2">
        <f t="shared" si="4"/>
        <v>0.11728533803050227</v>
      </c>
      <c r="Y48" s="2">
        <f t="shared" si="5"/>
        <v>0.10928020503416074</v>
      </c>
      <c r="Z48" s="2">
        <f t="shared" si="6"/>
        <v>0.10579568013572224</v>
      </c>
      <c r="AA48" s="2">
        <f t="shared" si="7"/>
        <v>0.11798772791544039</v>
      </c>
      <c r="AB48" s="2">
        <f t="shared" si="8"/>
        <v>0.10026757173055721</v>
      </c>
      <c r="AC48" s="2">
        <f t="shared" si="9"/>
        <v>0.1151901624778385</v>
      </c>
      <c r="AD48" s="2">
        <f t="shared" si="10"/>
        <v>0.10227444344259566</v>
      </c>
      <c r="AE48" s="2">
        <f t="shared" si="11"/>
        <v>0.10987695088187602</v>
      </c>
      <c r="AF48" s="2">
        <f t="shared" si="12"/>
        <v>0.11908712371493149</v>
      </c>
      <c r="AG48" s="2">
        <f t="shared" si="13"/>
        <v>9.9235315312320327E-2</v>
      </c>
      <c r="AH48" s="2">
        <f t="shared" si="14"/>
        <v>0.1199891551819615</v>
      </c>
      <c r="AI48" s="2">
        <f t="shared" si="15"/>
        <v>0.10099811712417744</v>
      </c>
      <c r="AJ48" s="2">
        <f>0.164184497229491*(8350/2783.333)</f>
        <v>0.49255355067692363</v>
      </c>
      <c r="AK48" s="2">
        <f>0.700275777780288*(8350/2783.333)</f>
        <v>2.1008275849369831</v>
      </c>
      <c r="AL48" s="2">
        <f>0.422811757222921*(8350/2783.333)</f>
        <v>1.2684354235771973</v>
      </c>
      <c r="AM48" s="2">
        <f>0.484170458604244*(8350/2783.333)</f>
        <v>1.4525115497662118</v>
      </c>
      <c r="AN48" s="2">
        <f>0.400305378619452*(8350/2783.333)</f>
        <v>1.2009162796806663</v>
      </c>
      <c r="AO48" s="2">
        <f>0.161029696456364*(8350/2783.333)</f>
        <v>0.48308914722408025</v>
      </c>
      <c r="AP48" s="2">
        <f>0.168584535546645*(8350/2783.333)</f>
        <v>0.50575366720923709</v>
      </c>
      <c r="AQ48" s="2">
        <f>0.155504216496172*(8350/2783.333)</f>
        <v>0.46651270535830047</v>
      </c>
      <c r="AR48" s="2">
        <f>0.182940888371677*(8350/2783.333)</f>
        <v>0.54882273084230326</v>
      </c>
      <c r="AS48" s="2">
        <f>0.125089406973469*(8350/2783.333)</f>
        <v>0.37526826586271517</v>
      </c>
      <c r="AT48" s="2">
        <f>0.119683704583971*(8350/2783.333)</f>
        <v>0.35905115675205179</v>
      </c>
      <c r="AU48" s="2">
        <f>0.131695446484574*(8350/2783.333)</f>
        <v>0.39508638676945779</v>
      </c>
      <c r="AV48" s="2">
        <f>0.0924726306939325*(8350/2783.333)</f>
        <v>0.27741792530550113</v>
      </c>
      <c r="AW48" s="2">
        <f>0.0728983460169023*(8350/2783.333)</f>
        <v>0.21869506424173257</v>
      </c>
    </row>
    <row r="49" spans="1:49" x14ac:dyDescent="0.25">
      <c r="A49" s="5">
        <v>45671</v>
      </c>
      <c r="B49" s="2">
        <f>0.239083472671359*(8350/2783.333)</f>
        <v>0.7172505039123418</v>
      </c>
      <c r="C49" s="2">
        <f>0.235002304681641*(8350/2783.333)</f>
        <v>0.70500699847689885</v>
      </c>
      <c r="D49" s="2">
        <f>0.190520501893155*(8350/2783.333)</f>
        <v>0.57156157412995257</v>
      </c>
      <c r="E49" s="2">
        <f>0.212648522673609*(8350/2783.333)</f>
        <v>0.6379456444215017</v>
      </c>
      <c r="F49" s="2">
        <f>0.207786742582063*(8350/2783.333)</f>
        <v>0.62336030240011708</v>
      </c>
      <c r="G49" s="2">
        <f>0.244481329226561*(8350/2783.333)</f>
        <v>0.73344407551729685</v>
      </c>
      <c r="H49" s="2">
        <f>0.249731325808541*(8350/2783.333)</f>
        <v>0.74919406714946335</v>
      </c>
      <c r="I49" s="2">
        <f>0.232061597671762*(8350/2783.333)</f>
        <v>0.69618487639072091</v>
      </c>
      <c r="J49" s="2">
        <f>0.206374442337213*(8350/2783.333)</f>
        <v>0.61912340115815467</v>
      </c>
      <c r="K49" s="2">
        <f>0.257699785618298*(8350/2783.333)</f>
        <v>0.77309944944165421</v>
      </c>
      <c r="L49" s="2">
        <f>0.271267091397429*(8350/2783.333)</f>
        <v>0.81380137165352795</v>
      </c>
      <c r="M49" s="2">
        <f>0.35596654361694*(8350/2783.333)</f>
        <v>1.0678997587430064</v>
      </c>
      <c r="N49" s="2">
        <f>0.534652874320785*(8350/2783.333)</f>
        <v>1.6039588150532313</v>
      </c>
      <c r="O49" s="2">
        <f>0.377087526934012*(8350/2783.333)</f>
        <v>1.1312627162826008</v>
      </c>
      <c r="P49" s="2">
        <f>0.75005823951154*(8350/2783.333)</f>
        <v>2.2501749880166559</v>
      </c>
      <c r="Q49" s="2">
        <f>0.895682799770305*(8350/2783.333)</f>
        <v>2.6870487211131584</v>
      </c>
      <c r="R49" s="2">
        <f>0.768557273588041*(8350/2783.333)</f>
        <v>2.3056720968925188</v>
      </c>
      <c r="S49" s="2">
        <f>0.205698994982355*(8350/2783.333)</f>
        <v>0.61709705885090405</v>
      </c>
      <c r="T49" s="2">
        <f t="shared" si="0"/>
        <v>0.10069243236843764</v>
      </c>
      <c r="U49" s="2">
        <f t="shared" si="1"/>
        <v>0.11437794326585224</v>
      </c>
      <c r="V49" s="2">
        <f t="shared" si="2"/>
        <v>0.11043877033537902</v>
      </c>
      <c r="W49" s="2">
        <f t="shared" si="3"/>
        <v>0.10705744606724045</v>
      </c>
      <c r="X49" s="2">
        <f t="shared" si="4"/>
        <v>0.11728533803050227</v>
      </c>
      <c r="Y49" s="2">
        <f t="shared" si="5"/>
        <v>0.10928020503416074</v>
      </c>
      <c r="Z49" s="2">
        <f t="shared" si="6"/>
        <v>0.10579568013572224</v>
      </c>
      <c r="AA49" s="2">
        <f t="shared" si="7"/>
        <v>0.11798772791544039</v>
      </c>
      <c r="AB49" s="2">
        <f t="shared" si="8"/>
        <v>0.10026757173055721</v>
      </c>
      <c r="AC49" s="2">
        <f t="shared" si="9"/>
        <v>0.1151901624778385</v>
      </c>
      <c r="AD49" s="2">
        <f t="shared" si="10"/>
        <v>0.10227444344259566</v>
      </c>
      <c r="AE49" s="2">
        <f t="shared" si="11"/>
        <v>0.10987695088187602</v>
      </c>
      <c r="AF49" s="2">
        <f t="shared" si="12"/>
        <v>0.11908712371493149</v>
      </c>
      <c r="AG49" s="2">
        <f t="shared" si="13"/>
        <v>9.9235315312320327E-2</v>
      </c>
      <c r="AH49" s="2">
        <f t="shared" si="14"/>
        <v>0.1199891551819615</v>
      </c>
      <c r="AI49" s="2">
        <f t="shared" si="15"/>
        <v>0.10099811712417744</v>
      </c>
      <c r="AJ49" s="2">
        <f>0.221793092748611*(8350/2783.333)</f>
        <v>0.66537935793198477</v>
      </c>
      <c r="AK49" s="2">
        <f>0.300375140982812*(8350/2783.333)</f>
        <v>0.90112553086766123</v>
      </c>
      <c r="AL49" s="2">
        <f>0.295479596482096*(8350/2783.333)</f>
        <v>0.88643889560663425</v>
      </c>
      <c r="AM49" s="2">
        <f>0.320246535418097*(8350/2783.333)</f>
        <v>0.96073972131294105</v>
      </c>
      <c r="AN49" s="2">
        <f>0.396578718771948*(8350/2783.333)</f>
        <v>1.1897362987992328</v>
      </c>
      <c r="AO49" s="2">
        <f>0.192817764431532*(8350/2783.333)</f>
        <v>0.57845336257044655</v>
      </c>
      <c r="AP49" s="2">
        <f>0.251377533735067*(8350/2783.333)</f>
        <v>0.75413269152049289</v>
      </c>
      <c r="AQ49" s="2">
        <f>0.17498459220103*(8350/2783.333)</f>
        <v>0.52495383947181307</v>
      </c>
      <c r="AR49" s="2">
        <f>0.134265544858498*(8350/2783.333)</f>
        <v>0.40279668281461889</v>
      </c>
      <c r="AS49" s="2">
        <f>0.181845911679941*(8350/2783.333)</f>
        <v>0.54553780037369015</v>
      </c>
      <c r="AT49" s="2">
        <f>0.121815058227247*(8350/2783.333)</f>
        <v>0.36544521844763628</v>
      </c>
      <c r="AU49" s="2">
        <f>0.100679012614782*(8350/2783.333)</f>
        <v>0.30203707401644947</v>
      </c>
      <c r="AV49" s="2">
        <f>0.089839406704323*(8350/2783.333)</f>
        <v>0.26951825239060406</v>
      </c>
      <c r="AW49" s="2">
        <f>0.0687016395297885*(8350/2783.333)</f>
        <v>0.20610494327259227</v>
      </c>
    </row>
    <row r="50" spans="1:49" x14ac:dyDescent="0.25">
      <c r="A50" s="5">
        <v>45672</v>
      </c>
      <c r="B50" s="2">
        <f>0.186783963024499*(8350/2783.333)</f>
        <v>0.56035195618151656</v>
      </c>
      <c r="C50" s="2">
        <f>0.274890221427195*(8350/2783.333)</f>
        <v>0.82467076304455178</v>
      </c>
      <c r="D50" s="2">
        <f>0.209298703311782*(8350/2783.333)</f>
        <v>0.62789618513249479</v>
      </c>
      <c r="E50" s="2">
        <f>0.249711446015414*(8350/2783.333)</f>
        <v>0.74913442776294015</v>
      </c>
      <c r="F50" s="2">
        <f>0.198022327987041*(8350/2783.333)</f>
        <v>0.59406705510687907</v>
      </c>
      <c r="G50" s="2">
        <f>0.236900512816435*(8350/2783.333)</f>
        <v>0.71070162356327216</v>
      </c>
      <c r="H50" s="2">
        <f>0.244956348259621*(8350/2783.333)</f>
        <v>0.73486913278714117</v>
      </c>
      <c r="I50" s="2">
        <f>0.238119430542712*(8350/2783.333)</f>
        <v>0.71435837718003692</v>
      </c>
      <c r="J50" s="2">
        <f>0.192510516268494*(8350/2783.333)</f>
        <v>0.57753161797094676</v>
      </c>
      <c r="K50" s="2">
        <f>0.267127826555553*(8350/2783.333)</f>
        <v>0.80138357564073925</v>
      </c>
      <c r="L50" s="2">
        <f>0.258369422941416*(8350/2783.333)</f>
        <v>0.77510836165159569</v>
      </c>
      <c r="M50" s="2">
        <f>0.360372070146852*(8350/2783.333)</f>
        <v>1.0811163399155679</v>
      </c>
      <c r="N50" s="2">
        <f>0.453095656204055*(8350/2783.333)</f>
        <v>1.3592871314010433</v>
      </c>
      <c r="O50" s="2">
        <f>0.380092208423526*(8350/2783.333)</f>
        <v>1.1402767618306695</v>
      </c>
      <c r="P50" s="2">
        <f>0.372442712033317*(8350/2783.333)</f>
        <v>1.1173282699117186</v>
      </c>
      <c r="Q50" s="2">
        <f>0.843800173138008*(8350/2783.333)</f>
        <v>2.5314008225757978</v>
      </c>
      <c r="R50" s="2">
        <f>0.58283810675006*(8350/2783.333)</f>
        <v>1.7485145296531164</v>
      </c>
      <c r="S50" s="2">
        <f>0.254080631255358*(8350/2783.333)</f>
        <v>0.76224198505254015</v>
      </c>
      <c r="T50" s="2">
        <f t="shared" si="0"/>
        <v>0.10069243236843764</v>
      </c>
      <c r="U50" s="2">
        <f t="shared" si="1"/>
        <v>0.11437794326585224</v>
      </c>
      <c r="V50" s="2">
        <f t="shared" si="2"/>
        <v>0.11043877033537902</v>
      </c>
      <c r="W50" s="2">
        <f t="shared" si="3"/>
        <v>0.10705744606724045</v>
      </c>
      <c r="X50" s="2">
        <f t="shared" si="4"/>
        <v>0.11728533803050227</v>
      </c>
      <c r="Y50" s="2">
        <f t="shared" si="5"/>
        <v>0.10928020503416074</v>
      </c>
      <c r="Z50" s="2">
        <f t="shared" si="6"/>
        <v>0.10579568013572224</v>
      </c>
      <c r="AA50" s="2">
        <f t="shared" si="7"/>
        <v>0.11798772791544039</v>
      </c>
      <c r="AB50" s="2">
        <f t="shared" si="8"/>
        <v>0.10026757173055721</v>
      </c>
      <c r="AC50" s="2">
        <f t="shared" si="9"/>
        <v>0.1151901624778385</v>
      </c>
      <c r="AD50" s="2">
        <f t="shared" si="10"/>
        <v>0.10227444344259566</v>
      </c>
      <c r="AE50" s="2">
        <f t="shared" si="11"/>
        <v>0.10987695088187602</v>
      </c>
      <c r="AF50" s="2">
        <f t="shared" si="12"/>
        <v>0.11908712371493149</v>
      </c>
      <c r="AG50" s="2">
        <f t="shared" si="13"/>
        <v>9.9235315312320327E-2</v>
      </c>
      <c r="AH50" s="2">
        <f t="shared" si="14"/>
        <v>0.1199891551819615</v>
      </c>
      <c r="AI50" s="2">
        <f t="shared" si="15"/>
        <v>0.10099811712417744</v>
      </c>
      <c r="AJ50" s="2">
        <f>0.160091254916291*(8350/2783.333)</f>
        <v>0.48027382226669546</v>
      </c>
      <c r="AK50" s="2">
        <f>0.192455928653658*(8350/2783.333)</f>
        <v>0.57736785510682487</v>
      </c>
      <c r="AL50" s="2">
        <f>0.184243600530178*(8350/2783.333)</f>
        <v>0.55273086778584868</v>
      </c>
      <c r="AM50" s="2">
        <f>0.353626205260438*(8350/2783.333)</f>
        <v>1.0608787428326598</v>
      </c>
      <c r="AN50" s="2">
        <f>0.400926488594037*(8350/2783.333)</f>
        <v>1.2027796098275723</v>
      </c>
      <c r="AO50" s="2">
        <f>0.125510634587398*(8350/2783.333)</f>
        <v>0.37653194885583996</v>
      </c>
      <c r="AP50" s="2">
        <f>0.14609549177313*(8350/2783.333)</f>
        <v>0.43828652780879512</v>
      </c>
      <c r="AQ50" s="2">
        <f>0.142630229073831*(8350/2783.333)</f>
        <v>0.42789073846589221</v>
      </c>
      <c r="AR50" s="2">
        <f>0.248930280248603*(8350/2783.333)</f>
        <v>0.74679093018184883</v>
      </c>
      <c r="AS50" s="2">
        <f>0.214806488067552*(8350/2783.333)</f>
        <v>0.64441954137864754</v>
      </c>
      <c r="AT50" s="2">
        <f>0.225759535907025*(8350/2783.333)</f>
        <v>0.67727868883229514</v>
      </c>
      <c r="AU50" s="2">
        <f>0.14529623566812*(8350/2783.333)</f>
        <v>0.43588875920660569</v>
      </c>
      <c r="AV50" s="2">
        <f>0.0994429294899576*(8350/2783.333)</f>
        <v>0.29832882419787565</v>
      </c>
      <c r="AW50" s="2">
        <f>0.0756961503416448*(8350/2783.333)</f>
        <v>0.22708847822115938</v>
      </c>
    </row>
    <row r="51" spans="1:49" x14ac:dyDescent="0.25">
      <c r="A51" s="5">
        <v>45673</v>
      </c>
      <c r="B51" s="2">
        <f>0.25822882888137*(8350/2783.333)</f>
        <v>0.77468657942094699</v>
      </c>
      <c r="C51" s="2">
        <f>0.257589438260449*(8350/2783.333)</f>
        <v>0.7727684073284613</v>
      </c>
      <c r="D51" s="2">
        <f>0.192867777070483*(8350/2783.333)</f>
        <v>0.57860340050527059</v>
      </c>
      <c r="E51" s="2">
        <f>0.336809315868657*(8350/2783.333)</f>
        <v>1.0104280686153202</v>
      </c>
      <c r="F51" s="2">
        <f>0.323397411387121*(8350/2783.333)</f>
        <v>0.97019235035206242</v>
      </c>
      <c r="G51" s="2">
        <f>0.388990642044586*(8350/2783.333)</f>
        <v>1.1669720658908929</v>
      </c>
      <c r="H51" s="2">
        <f>0.374835737590258*(8350/2783.333)</f>
        <v>1.1245073474423117</v>
      </c>
      <c r="I51" s="2">
        <f>0.315473296433299*(8350/2783.333)</f>
        <v>0.94642000264361048</v>
      </c>
      <c r="J51" s="2">
        <f>0.188153282361183*(8350/2783.333)</f>
        <v>0.56445991468353851</v>
      </c>
      <c r="K51" s="2">
        <f>0.277603427596947*(8350/2783.333)</f>
        <v>0.83281038252861173</v>
      </c>
      <c r="L51" s="2">
        <f>0.269602876112782*(8350/2783.333)</f>
        <v>0.80880872520166569</v>
      </c>
      <c r="M51" s="2">
        <f>0.397378492998119*(8350/2783.333)</f>
        <v>1.1921356217650887</v>
      </c>
      <c r="N51" s="2">
        <f>0.580356436163977*(8350/2783.333)</f>
        <v>1.7410695170032502</v>
      </c>
      <c r="O51" s="2">
        <f>0.458213927150891*(8350/2783.333)</f>
        <v>1.3746419460804515</v>
      </c>
      <c r="P51" s="2">
        <f>0.670741736022964*(8350/2783.333)</f>
        <v>2.0122254490539744</v>
      </c>
      <c r="Q51" s="2">
        <f>0.576368815860618*(8350/2783.333)</f>
        <v>1.7291066546604947</v>
      </c>
      <c r="R51" s="2">
        <f>0.610751809180618*(8350/2783.333)</f>
        <v>1.8322556469736673</v>
      </c>
      <c r="S51" s="2">
        <f>0.292446960656562*(8350/2783.333)</f>
        <v>0.87734098704046171</v>
      </c>
      <c r="T51" s="2">
        <f t="shared" si="0"/>
        <v>0.10069243236843764</v>
      </c>
      <c r="U51" s="2">
        <f t="shared" si="1"/>
        <v>0.11437794326585224</v>
      </c>
      <c r="V51" s="2">
        <f t="shared" si="2"/>
        <v>0.11043877033537902</v>
      </c>
      <c r="W51" s="2">
        <f t="shared" si="3"/>
        <v>0.10705744606724045</v>
      </c>
      <c r="X51" s="2">
        <f t="shared" si="4"/>
        <v>0.11728533803050227</v>
      </c>
      <c r="Y51" s="2">
        <f t="shared" si="5"/>
        <v>0.10928020503416074</v>
      </c>
      <c r="Z51" s="2">
        <f t="shared" si="6"/>
        <v>0.10579568013572224</v>
      </c>
      <c r="AA51" s="2">
        <f t="shared" si="7"/>
        <v>0.11798772791544039</v>
      </c>
      <c r="AB51" s="2">
        <f t="shared" si="8"/>
        <v>0.10026757173055721</v>
      </c>
      <c r="AC51" s="2">
        <f t="shared" si="9"/>
        <v>0.1151901624778385</v>
      </c>
      <c r="AD51" s="2">
        <f t="shared" si="10"/>
        <v>0.10227444344259566</v>
      </c>
      <c r="AE51" s="2">
        <f t="shared" si="11"/>
        <v>0.10987695088187602</v>
      </c>
      <c r="AF51" s="2">
        <f t="shared" si="12"/>
        <v>0.11908712371493149</v>
      </c>
      <c r="AG51" s="2">
        <f t="shared" si="13"/>
        <v>9.9235315312320327E-2</v>
      </c>
      <c r="AH51" s="2">
        <f t="shared" si="14"/>
        <v>0.1199891551819615</v>
      </c>
      <c r="AI51" s="2">
        <f t="shared" si="15"/>
        <v>0.10099811712417744</v>
      </c>
      <c r="AJ51" s="2">
        <f>0.161910473722158*(8350/2783.333)</f>
        <v>0.48573147933790806</v>
      </c>
      <c r="AK51" s="2">
        <f>0.511117380614466*(8350/2783.333)</f>
        <v>1.5333523254784061</v>
      </c>
      <c r="AL51" s="2">
        <f>0.332270830285314*(8350/2783.333)</f>
        <v>0.99681261023469769</v>
      </c>
      <c r="AM51" s="2">
        <f>0.592241270866079*(8350/2783.333)</f>
        <v>1.7767240253795571</v>
      </c>
      <c r="AN51" s="2">
        <f>0.295337792914739*(8350/2783.333)</f>
        <v>0.88601348485361786</v>
      </c>
      <c r="AO51" s="2">
        <f>0.157895661585573*(8350/2783.333)</f>
        <v>0.47368704148570634</v>
      </c>
      <c r="AP51" s="2">
        <f>0.179079422640952*(8350/2783.333)</f>
        <v>0.5372383322627764</v>
      </c>
      <c r="AQ51" s="2">
        <f>0.169733360489286*(8350/2783.333)</f>
        <v>0.50920014244990985</v>
      </c>
      <c r="AR51" s="2">
        <f>0.183920928845096*(8350/2783.333)</f>
        <v>0.55176285261467273</v>
      </c>
      <c r="AS51" s="2">
        <f>0.161587215949019*(8350/2783.333)</f>
        <v>0.48476170590235046</v>
      </c>
      <c r="AT51" s="2">
        <f>0.151817959513366*(8350/2783.333)</f>
        <v>0.45545393308547982</v>
      </c>
      <c r="AU51" s="2">
        <f>0.131363719919122*(8350/2783.333)</f>
        <v>0.39409120695391769</v>
      </c>
      <c r="AV51" s="2">
        <f>0.104709377469176*(8350/2783.333)</f>
        <v>0.31412817002766963</v>
      </c>
      <c r="AW51" s="2">
        <f>0.0913949412749223*(8350/2783.333)</f>
        <v>0.27418485666127662</v>
      </c>
    </row>
    <row r="52" spans="1:49" x14ac:dyDescent="0.25">
      <c r="A52" s="5">
        <v>45674</v>
      </c>
      <c r="B52" s="2">
        <f>0.256360989251125*(8350/2783.333)</f>
        <v>0.76908305985913183</v>
      </c>
      <c r="C52" s="2">
        <f>0.272487334876258*(8350/2783.333)</f>
        <v>0.81746210252842844</v>
      </c>
      <c r="D52" s="2">
        <f>0.196779902366031*(8350/2783.333)</f>
        <v>0.59033977779746671</v>
      </c>
      <c r="E52" s="2">
        <f>0.262683469185046*(8350/2783.333)</f>
        <v>0.78805050193244353</v>
      </c>
      <c r="F52" s="2">
        <f>0.224972112269301*(8350/2783.333)</f>
        <v>0.67491641763621701</v>
      </c>
      <c r="G52" s="2">
        <f>0.268171380508204*(8350/2783.333)</f>
        <v>0.80451423787362397</v>
      </c>
      <c r="H52" s="2">
        <f>0.260713774171058*(8350/2783.333)</f>
        <v>0.78214141618280519</v>
      </c>
      <c r="I52" s="2">
        <f>0.267010633465702*(8350/2783.333)</f>
        <v>0.80103199632908184</v>
      </c>
      <c r="J52" s="2">
        <f>0.219050031885756*(8350/2783.333)</f>
        <v>0.65715017435788803</v>
      </c>
      <c r="K52" s="2">
        <f>0.293840609211108*(8350/2783.333)</f>
        <v>0.88152193320481331</v>
      </c>
      <c r="L52" s="2">
        <f>0.294566105382484*(8350/2783.333)</f>
        <v>0.88369842197959736</v>
      </c>
      <c r="M52" s="2">
        <f>0.289443093015259*(8350/2783.333)</f>
        <v>0.86832938303732055</v>
      </c>
      <c r="N52" s="2">
        <f>0.492495278482669*(8350/2783.333)</f>
        <v>1.4774860123924387</v>
      </c>
      <c r="O52" s="2">
        <f>0.629105186867002*(8350/2783.333)</f>
        <v>1.8873157866268493</v>
      </c>
      <c r="P52" s="2">
        <f>0.669448532161737*(8350/2783.333)</f>
        <v>2.0083458370056695</v>
      </c>
      <c r="Q52" s="2">
        <f>1.41733902754595*(8350/2783.333)</f>
        <v>4.2520175918615255</v>
      </c>
      <c r="R52" s="2">
        <f>0.68332743550007*(8350/2783.333)</f>
        <v>2.0499825520071013</v>
      </c>
      <c r="S52" s="2">
        <f>0.203541851963813*(8350/2783.333)</f>
        <v>0.61062562902025808</v>
      </c>
      <c r="T52" s="2">
        <f t="shared" si="0"/>
        <v>0.10069243236843764</v>
      </c>
      <c r="U52" s="2">
        <f t="shared" si="1"/>
        <v>0.11437794326585224</v>
      </c>
      <c r="V52" s="2">
        <f t="shared" si="2"/>
        <v>0.11043877033537902</v>
      </c>
      <c r="W52" s="2">
        <f t="shared" si="3"/>
        <v>0.10705744606724045</v>
      </c>
      <c r="X52" s="2">
        <f t="shared" si="4"/>
        <v>0.11728533803050227</v>
      </c>
      <c r="Y52" s="2">
        <f t="shared" si="5"/>
        <v>0.10928020503416074</v>
      </c>
      <c r="Z52" s="2">
        <f t="shared" si="6"/>
        <v>0.10579568013572224</v>
      </c>
      <c r="AA52" s="2">
        <f t="shared" si="7"/>
        <v>0.11798772791544039</v>
      </c>
      <c r="AB52" s="2">
        <f t="shared" si="8"/>
        <v>0.10026757173055721</v>
      </c>
      <c r="AC52" s="2">
        <f t="shared" si="9"/>
        <v>0.1151901624778385</v>
      </c>
      <c r="AD52" s="2">
        <f t="shared" si="10"/>
        <v>0.10227444344259566</v>
      </c>
      <c r="AE52" s="2">
        <f t="shared" si="11"/>
        <v>0.10987695088187602</v>
      </c>
      <c r="AF52" s="2">
        <f t="shared" si="12"/>
        <v>0.11908712371493149</v>
      </c>
      <c r="AG52" s="2">
        <f t="shared" si="13"/>
        <v>9.9235315312320327E-2</v>
      </c>
      <c r="AH52" s="2">
        <f t="shared" si="14"/>
        <v>0.1199891551819615</v>
      </c>
      <c r="AI52" s="2">
        <f t="shared" si="15"/>
        <v>0.10099811712417744</v>
      </c>
      <c r="AJ52" s="2">
        <f>0.110972347157883*(8350/2783.333)</f>
        <v>0.33291708134395964</v>
      </c>
      <c r="AK52" s="2">
        <f>0.638222230691025*(8350/2783.333)</f>
        <v>1.914666921374502</v>
      </c>
      <c r="AL52" s="2">
        <f>0.664541660570628*(8350/2783.333)</f>
        <v>1.9936252204693947</v>
      </c>
      <c r="AM52" s="2">
        <f>0.474916688746962*(8350/2783.333)</f>
        <v>1.4247502368696559</v>
      </c>
      <c r="AN52" s="2">
        <f>0.556203982240062*(8350/2783.333)</f>
        <v>1.6686121465539745</v>
      </c>
      <c r="AO52" s="2">
        <f>0.17595367203156*(8350/2783.333)</f>
        <v>0.52786107931157633</v>
      </c>
      <c r="AP52" s="2">
        <f>0.273366820980281*(8350/2783.333)</f>
        <v>0.82010056115648033</v>
      </c>
      <c r="AQ52" s="2">
        <f>0.302369309853667*(8350/2783.333)</f>
        <v>0.90710803819669539</v>
      </c>
      <c r="AR52" s="2">
        <f>0.352161210115478*(8350/2783.333)</f>
        <v>1.0564837568714345</v>
      </c>
      <c r="AS52" s="2">
        <f>0.178469462391454*(8350/2783.333)</f>
        <v>0.5354084512951337</v>
      </c>
      <c r="AT52" s="2">
        <f>0.154113263436894*(8350/2783.333)</f>
        <v>0.46233984568072461</v>
      </c>
      <c r="AU52" s="2">
        <f>0.132193036332753*(8350/2783.333)</f>
        <v>0.3965791564927682</v>
      </c>
      <c r="AV52" s="2">
        <f>0.114777586841213*(8350/2783.333)</f>
        <v>0.34433280176109937</v>
      </c>
      <c r="AW52" s="2">
        <f>0.0999437878227467*(8350/2783.333)</f>
        <v>0.29983139937619196</v>
      </c>
    </row>
    <row r="53" spans="1:49" x14ac:dyDescent="0.25">
      <c r="A53" s="5">
        <v>45675</v>
      </c>
      <c r="B53" s="2">
        <f>0.329673694738241*(8350/2783.333)</f>
        <v>0.98902120266037707</v>
      </c>
      <c r="C53" s="2">
        <f>0.28882696342263*(8350/2783.333)</f>
        <v>0.86648099403806922</v>
      </c>
      <c r="D53" s="2">
        <f>0.209689915841337*(8350/2783.333)</f>
        <v>0.62906982286171398</v>
      </c>
      <c r="E53" s="2">
        <f>0.243688720972371*(8350/2783.333)</f>
        <v>0.73106625046995644</v>
      </c>
      <c r="F53" s="2">
        <f>0.199975210906045*(8350/2783.333)</f>
        <v>0.59992570456552596</v>
      </c>
      <c r="G53" s="2">
        <f>0.24921933948289*(8350/2783.333)</f>
        <v>0.74765810798856258</v>
      </c>
      <c r="H53" s="2">
        <f>0.21678398072099*(8350/2783.333)</f>
        <v>0.65035202004943826</v>
      </c>
      <c r="I53" s="2">
        <f>0.238119430542712*(8350/2783.333)</f>
        <v>0.71435837718003692</v>
      </c>
      <c r="J53" s="2">
        <f>0.203997769296861*(8350/2783.333)</f>
        <v>0.61199338118320468</v>
      </c>
      <c r="K53" s="2">
        <f>0.267651606607622*(8350/2783.333)</f>
        <v>0.80295491598513258</v>
      </c>
      <c r="L53" s="2">
        <f>0.259201530583739*(8350/2783.333)</f>
        <v>0.7776046848775271</v>
      </c>
      <c r="M53" s="2">
        <f>0.341428306068228*(8350/2783.333)</f>
        <v>1.0242850408735522</v>
      </c>
      <c r="N53" s="2">
        <f>0.556716662796809*(8350/2783.333)</f>
        <v>1.6701501884084129</v>
      </c>
      <c r="O53" s="2">
        <f>0.326007941612273*(8350/2783.333)</f>
        <v>0.97802394196543574</v>
      </c>
      <c r="P53" s="2">
        <f>0.899638819460106*(8350/2783.333)</f>
        <v>2.6989167816038853</v>
      </c>
      <c r="Q53" s="2">
        <f>0.357046803278631*(8350/2783.333)</f>
        <v>1.0711405381161985</v>
      </c>
      <c r="R53" s="2">
        <f>0.347246458236147*(8350/2783.333)</f>
        <v>1.0417394994676612</v>
      </c>
      <c r="S53" s="2">
        <f>0.0912163333554712*(8350/2783.333)</f>
        <v>0.27364903283875297</v>
      </c>
      <c r="T53" s="2">
        <f t="shared" si="0"/>
        <v>0.10069243236843764</v>
      </c>
      <c r="U53" s="2">
        <f t="shared" si="1"/>
        <v>0.11437794326585224</v>
      </c>
      <c r="V53" s="2">
        <f t="shared" si="2"/>
        <v>0.11043877033537902</v>
      </c>
      <c r="W53" s="2">
        <f t="shared" si="3"/>
        <v>0.10705744606724045</v>
      </c>
      <c r="X53" s="2">
        <f t="shared" si="4"/>
        <v>0.11728533803050227</v>
      </c>
      <c r="Y53" s="2">
        <f t="shared" si="5"/>
        <v>0.10928020503416074</v>
      </c>
      <c r="Z53" s="2">
        <f t="shared" si="6"/>
        <v>0.10579568013572224</v>
      </c>
      <c r="AA53" s="2">
        <f t="shared" si="7"/>
        <v>0.11798772791544039</v>
      </c>
      <c r="AB53" s="2">
        <f t="shared" si="8"/>
        <v>0.10026757173055721</v>
      </c>
      <c r="AC53" s="2">
        <f t="shared" si="9"/>
        <v>0.1151901624778385</v>
      </c>
      <c r="AD53" s="2">
        <f t="shared" si="10"/>
        <v>0.10227444344259566</v>
      </c>
      <c r="AE53" s="2">
        <f t="shared" si="11"/>
        <v>0.10987695088187602</v>
      </c>
      <c r="AF53" s="2">
        <f t="shared" si="12"/>
        <v>0.11908712371493149</v>
      </c>
      <c r="AG53" s="2">
        <f t="shared" si="13"/>
        <v>9.9235315312320327E-2</v>
      </c>
      <c r="AH53" s="2">
        <f t="shared" si="14"/>
        <v>0.1199891551819615</v>
      </c>
      <c r="AI53" s="2">
        <f t="shared" si="15"/>
        <v>0.10099811712417744</v>
      </c>
      <c r="AJ53" s="2">
        <f>0.136744613574332*(8350/2783.333)</f>
        <v>0.41023388985280251</v>
      </c>
      <c r="AK53" s="2">
        <f>0.267699601694263*(8350/2783.333)</f>
        <v>0.80309890126229722</v>
      </c>
      <c r="AL53" s="2">
        <f>0.234544115495516*(8350/2783.333)</f>
        <v>0.70363243075390414</v>
      </c>
      <c r="AM53" s="2">
        <f>0.256131129978355*(8350/2783.333)</f>
        <v>0.7683934819582352</v>
      </c>
      <c r="AN53" s="2">
        <f>0.256207864515941*(8350/2783.333)</f>
        <v>0.76862368559856431</v>
      </c>
      <c r="AO53" s="2">
        <f>0.170133321557234*(8350/2783.333)</f>
        <v>0.51040002579745269</v>
      </c>
      <c r="AP53" s="2">
        <f>0.171416489207014*(8350/2783.333)</f>
        <v>0.51424952920781097</v>
      </c>
      <c r="AQ53" s="2">
        <f>0.131280792793609*(8350/2783.333)</f>
        <v>0.39384242554758486</v>
      </c>
      <c r="AR53" s="2">
        <f>0.124791820282108*(8350/2783.333)</f>
        <v>0.37437550568171418</v>
      </c>
      <c r="AS53" s="2">
        <f>0.115763975605267*(8350/2783.333)</f>
        <v>0.34729196840765408</v>
      </c>
      <c r="AT53" s="2">
        <f>0.117388400660443*(8350/2783.333)</f>
        <v>0.35216524415680706</v>
      </c>
      <c r="AU53" s="2">
        <f>0.138495841076347*(8350/2783.333)</f>
        <v>0.41548757298803174</v>
      </c>
      <c r="AV53" s="2">
        <f>0.0994429294899576*(8350/2783.333)</f>
        <v>0.29832882419787565</v>
      </c>
      <c r="AW53" s="2">
        <f>0.0693233738241757*(8350/2783.333)</f>
        <v>0.20797014637913161</v>
      </c>
    </row>
    <row r="54" spans="1:49" x14ac:dyDescent="0.25">
      <c r="A54" s="5">
        <v>45676</v>
      </c>
      <c r="B54" s="2">
        <f>0.204995399419388*(8350/2783.333)</f>
        <v>0.61498627190921451</v>
      </c>
      <c r="C54" s="2">
        <f>0.223949026547331*(8350/2783.333)</f>
        <v>0.67184716010272949</v>
      </c>
      <c r="D54" s="2">
        <f>0.176436850829185*(8350/2783.333)</f>
        <v>0.52931061587804673</v>
      </c>
      <c r="E54" s="2">
        <f>0.199213212962204*(8350/2783.333)</f>
        <v>0.59763971046023068</v>
      </c>
      <c r="F54" s="2">
        <f>0.174587732958989*(8350/2783.333)</f>
        <v>0.52376326160310638</v>
      </c>
      <c r="G54" s="2">
        <f>0.213684262560425*(8350/2783.333)</f>
        <v>0.64105286445407195</v>
      </c>
      <c r="H54" s="2">
        <f>0.212963998681853*(8350/2783.333)</f>
        <v>0.6388920725595808</v>
      </c>
      <c r="I54" s="2">
        <f>0.212956124771075*(8350/2783.333)</f>
        <v>0.63886845082441668</v>
      </c>
      <c r="J54" s="2">
        <f>0.185380497147439*(8350/2783.333)</f>
        <v>0.55614155804609666</v>
      </c>
      <c r="K54" s="2">
        <f>0.2351772433793*(8350/2783.333)</f>
        <v>0.70553181463272896</v>
      </c>
      <c r="L54" s="2">
        <f>0.245887808306565*(8350/2783.333)</f>
        <v>0.73766351326263002</v>
      </c>
      <c r="M54" s="2">
        <f>0.245828380369124*(8350/2783.333)</f>
        <v>0.73748522942895689</v>
      </c>
      <c r="N54" s="2">
        <f>0.6422138431414*(8350/2783.333)</f>
        <v>1.9266417601597401</v>
      </c>
      <c r="O54" s="2">
        <f>0.372204919513552*(8350/2783.333)</f>
        <v>1.1166148922669896</v>
      </c>
      <c r="P54" s="2">
        <f>0.614271834082727*(8350/2783.333)</f>
        <v>1.8428157229446747</v>
      </c>
      <c r="Q54" s="2">
        <f>0.358933444247079*(8350/2783.333)</f>
        <v>1.0768004616993752</v>
      </c>
      <c r="R54" s="2">
        <f>0.451085431277824*(8350/2783.333)</f>
        <v>1.3532564559001128</v>
      </c>
      <c r="S54" s="2">
        <f>0.11910511095233*(8350/2783.333)</f>
        <v>0.35731537564924992</v>
      </c>
      <c r="T54" s="2">
        <f t="shared" si="0"/>
        <v>0.10069243236843764</v>
      </c>
      <c r="U54" s="2">
        <f t="shared" si="1"/>
        <v>0.11437794326585224</v>
      </c>
      <c r="V54" s="2">
        <f t="shared" si="2"/>
        <v>0.11043877033537902</v>
      </c>
      <c r="W54" s="2">
        <f t="shared" si="3"/>
        <v>0.10705744606724045</v>
      </c>
      <c r="X54" s="2">
        <f t="shared" si="4"/>
        <v>0.11728533803050227</v>
      </c>
      <c r="Y54" s="2">
        <f t="shared" si="5"/>
        <v>0.10928020503416074</v>
      </c>
      <c r="Z54" s="2">
        <f t="shared" si="6"/>
        <v>0.10579568013572224</v>
      </c>
      <c r="AA54" s="2">
        <f t="shared" si="7"/>
        <v>0.11798772791544039</v>
      </c>
      <c r="AB54" s="2">
        <f t="shared" si="8"/>
        <v>0.10026757173055721</v>
      </c>
      <c r="AC54" s="2">
        <f t="shared" si="9"/>
        <v>0.1151901624778385</v>
      </c>
      <c r="AD54" s="2">
        <f t="shared" si="10"/>
        <v>0.10227444344259566</v>
      </c>
      <c r="AE54" s="2">
        <f t="shared" si="11"/>
        <v>0.10987695088187602</v>
      </c>
      <c r="AF54" s="2">
        <f t="shared" si="12"/>
        <v>0.11908712371493149</v>
      </c>
      <c r="AG54" s="2">
        <f t="shared" si="13"/>
        <v>9.9235315312320327E-2</v>
      </c>
      <c r="AH54" s="2">
        <f t="shared" si="14"/>
        <v>0.1199891551819615</v>
      </c>
      <c r="AI54" s="2">
        <f t="shared" si="15"/>
        <v>0.10099811712417744</v>
      </c>
      <c r="AJ54" s="2">
        <f>0.200720474913986*(8350/2783.333)</f>
        <v>0.60216149685710729</v>
      </c>
      <c r="AK54" s="2">
        <f>0.417287621006062*(8350/2783.333)</f>
        <v>1.2518630129419008</v>
      </c>
      <c r="AL54" s="2">
        <f>0.440057648068179*(8350/2783.333)</f>
        <v>1.3201731023091017</v>
      </c>
      <c r="AM54" s="2">
        <f>0.400225546327467*(8350/2783.333)</f>
        <v>1.2006767827760287</v>
      </c>
      <c r="AN54" s="2">
        <f>0.258381749426986*(8350/2783.333)</f>
        <v>0.77514534111273448</v>
      </c>
      <c r="AO54" s="2">
        <f>0.416080439036463*(8350/2783.333)</f>
        <v>1.2482414665993844</v>
      </c>
      <c r="AP54" s="2">
        <f>0.144929393207096*(8350/2783.333)</f>
        <v>0.43478823169173525</v>
      </c>
      <c r="AQ54" s="2">
        <f>0.147712066214228*(8350/2783.333)</f>
        <v>0.44313625171289528</v>
      </c>
      <c r="AR54" s="2">
        <f>0.288621919422101*(8350/2783.333)</f>
        <v>0.86586586196281246</v>
      </c>
      <c r="AS54" s="2">
        <f>0.167053848130379*(8350/2783.333)</f>
        <v>0.50116160441048996</v>
      </c>
      <c r="AT54" s="2">
        <f>0.179689507156209*(8350/2783.333)</f>
        <v>0.53906858602773844</v>
      </c>
      <c r="AU54" s="2">
        <f>0.117265340887398*(8350/2783.333)</f>
        <v>0.35179606479345926</v>
      </c>
      <c r="AV54" s="2">
        <f>0.0982037652595531*(8350/2783.333)</f>
        <v>0.29461133106145349</v>
      </c>
      <c r="AW54" s="2">
        <f>0.0761624510624352*(8350/2783.333)</f>
        <v>0.22848738055106388</v>
      </c>
    </row>
    <row r="55" spans="1:49" x14ac:dyDescent="0.25">
      <c r="A55" s="5">
        <v>45677</v>
      </c>
      <c r="B55" s="2">
        <f>0.236748673133553*(8350/2783.333)</f>
        <v>0.7102461044600733</v>
      </c>
      <c r="C55" s="2">
        <f>0.255667129019699*(8350/2783.333)</f>
        <v>0.76700147891556236</v>
      </c>
      <c r="D55" s="2">
        <f>0.195215052247812*(8350/2783.333)</f>
        <v>0.58564522688058795</v>
      </c>
      <c r="E55" s="2">
        <f>0.236739422845782*(8350/2783.333)</f>
        <v>0.71021835359343655</v>
      </c>
      <c r="F55" s="2">
        <f>0.200756364073647*(8350/2783.333)</f>
        <v>0.60226916434898581</v>
      </c>
      <c r="G55" s="2">
        <f>0.235479109739537*(8350/2783.333)</f>
        <v>0.70643741382189262</v>
      </c>
      <c r="H55" s="2">
        <f>0.220126465005234*(8350/2783.333)</f>
        <v>0.66037947410306452</v>
      </c>
      <c r="I55" s="2">
        <f>0.238119430542712*(8350/2783.333)</f>
        <v>0.71435837718003692</v>
      </c>
      <c r="J55" s="2">
        <f>0.208355003204173*(8350/2783.333)</f>
        <v>0.62506508447061293</v>
      </c>
      <c r="K55" s="2">
        <f>0.278127207649017*(8350/2783.333)</f>
        <v>0.83438172287300461</v>
      </c>
      <c r="L55" s="2">
        <f>0.269602876112782*(8350/2783.333)</f>
        <v>0.80880872520166569</v>
      </c>
      <c r="M55" s="2">
        <f>0.288121435056286*(8350/2783.333)</f>
        <v>0.86436440868555253</v>
      </c>
      <c r="N55" s="2">
        <f>0.514559066958692*(8350/2783.333)</f>
        <v>1.5436773857476203</v>
      </c>
      <c r="O55" s="2">
        <f>0.472486164226083*(8350/2783.333)</f>
        <v>1.4174586624337768</v>
      </c>
      <c r="P55" s="2">
        <f>0.684535910542716*(8350/2783.333)</f>
        <v>2.0536079775692233</v>
      </c>
      <c r="Q55" s="2">
        <f>0.868326505727821*(8350/2783.333)</f>
        <v>2.6049798291570951</v>
      </c>
      <c r="R55" s="2">
        <f>0.469694566231529*(8350/2783.333)</f>
        <v>1.4090838674471471</v>
      </c>
      <c r="S55" s="2">
        <f>0.36332451698007*(8350/2783.333)</f>
        <v>1.0899736814759793</v>
      </c>
      <c r="T55" s="2">
        <f t="shared" si="0"/>
        <v>0.10069243236843764</v>
      </c>
      <c r="U55" s="2">
        <f t="shared" si="1"/>
        <v>0.11437794326585224</v>
      </c>
      <c r="V55" s="2">
        <f t="shared" si="2"/>
        <v>0.11043877033537902</v>
      </c>
      <c r="W55" s="2">
        <f t="shared" si="3"/>
        <v>0.10705744606724045</v>
      </c>
      <c r="X55" s="2">
        <f t="shared" si="4"/>
        <v>0.11728533803050227</v>
      </c>
      <c r="Y55" s="2">
        <f t="shared" si="5"/>
        <v>0.10928020503416074</v>
      </c>
      <c r="Z55" s="2">
        <f t="shared" si="6"/>
        <v>0.10579568013572224</v>
      </c>
      <c r="AA55" s="2">
        <f t="shared" si="7"/>
        <v>0.11798772791544039</v>
      </c>
      <c r="AB55" s="2">
        <f t="shared" si="8"/>
        <v>0.10026757173055721</v>
      </c>
      <c r="AC55" s="2">
        <f t="shared" si="9"/>
        <v>0.1151901624778385</v>
      </c>
      <c r="AD55" s="2">
        <f t="shared" si="10"/>
        <v>0.10227444344259566</v>
      </c>
      <c r="AE55" s="2">
        <f t="shared" si="11"/>
        <v>0.10987695088187602</v>
      </c>
      <c r="AF55" s="2">
        <f t="shared" si="12"/>
        <v>0.11908712371493149</v>
      </c>
      <c r="AG55" s="2">
        <f t="shared" si="13"/>
        <v>9.9235315312320327E-2</v>
      </c>
      <c r="AH55" s="2">
        <f t="shared" si="14"/>
        <v>0.1199891551819615</v>
      </c>
      <c r="AI55" s="2">
        <f t="shared" si="15"/>
        <v>0.10099811712417744</v>
      </c>
      <c r="AJ55" s="2">
        <f>0.235437233792613*(8350/2783.333)</f>
        <v>0.70631178596607802</v>
      </c>
      <c r="AK55" s="2">
        <f>0.310267735446318*(8350/2783.333)</f>
        <v>0.93080331781240433</v>
      </c>
      <c r="AL55" s="2">
        <f>0.285132061974941*(8350/2783.333)</f>
        <v>0.85539628836749126</v>
      </c>
      <c r="AM55" s="2">
        <f>0.325534403907973*(8350/2783.333)</f>
        <v>0.97660332868240218</v>
      </c>
      <c r="AN55" s="2">
        <f>0.27577282871534*(8350/2783.333)</f>
        <v>0.82731858522609147</v>
      </c>
      <c r="AO55" s="2">
        <f>0.120436482891831*(8350/2783.333)</f>
        <v>0.36130949194609147</v>
      </c>
      <c r="AP55" s="2">
        <f>0.143763294641062*(8350/2783.333)</f>
        <v>0.43128993557467504</v>
      </c>
      <c r="AQ55" s="2">
        <f>0.141952650788444*(8350/2783.333)</f>
        <v>0.4258580033662917</v>
      </c>
      <c r="AR55" s="2">
        <f>0.12789528178127*(8350/2783.333)</f>
        <v>0.3836858912942176</v>
      </c>
      <c r="AS55" s="2">
        <f>0.230402468114372*(8350/2783.333)</f>
        <v>0.69120748712245661</v>
      </c>
      <c r="AT55" s="2">
        <f>0.131160224201612*(8350/2783.333)</f>
        <v>0.39348071972827608</v>
      </c>
      <c r="AU55" s="2">
        <f>0.197543169726862*(8350/2783.333)</f>
        <v>0.59262958015418721</v>
      </c>
      <c r="AV55" s="2">
        <f>0.0834886900235002*(8350/2783.333)</f>
        <v>0.25046610006644071</v>
      </c>
      <c r="AW55" s="2">
        <f>0.0711885767073374*(8350/2783.333)</f>
        <v>0.21356575569874953</v>
      </c>
    </row>
    <row r="56" spans="1:49" x14ac:dyDescent="0.25">
      <c r="A56" s="5">
        <v>45678</v>
      </c>
      <c r="B56" s="2">
        <f>0.208731078679878*(8350/2783.333)</f>
        <v>0.62619331103284548</v>
      </c>
      <c r="C56" s="2">
        <f>0.206167666070397*(8350/2783.333)</f>
        <v>0.61850307228341428</v>
      </c>
      <c r="D56" s="2">
        <f>0.161961987235659*(8350/2783.333)</f>
        <v>0.48588601989692071</v>
      </c>
      <c r="E56" s="2">
        <f>0.167246441579897*(8350/2783.333)</f>
        <v>0.50173938482823977</v>
      </c>
      <c r="F56" s="2">
        <f>0.171072543704781*(8350/2783.333)</f>
        <v>0.51321769257754035</v>
      </c>
      <c r="G56" s="2">
        <f>0.2046820430734*(8350/2783.333)</f>
        <v>0.61404620275866673</v>
      </c>
      <c r="H56" s="2">
        <f>0.212009003172069*(8350/2783.333)</f>
        <v>0.63602708568711608</v>
      </c>
      <c r="I56" s="2">
        <f>0.191986703294711*(8350/2783.333)</f>
        <v>0.57596017886139927</v>
      </c>
      <c r="J56" s="2">
        <f>0.171120458905328*(8350/2783.333)</f>
        <v>0.5133614381963969</v>
      </c>
      <c r="K56" s="2">
        <f>0.227844322650324*(8350/2783.333)</f>
        <v>0.68353304981121865</v>
      </c>
      <c r="L56" s="2">
        <f>0.310376150586628*(8350/2783.333)</f>
        <v>0.93112856327228777</v>
      </c>
      <c r="M56" s="2">
        <f>0.328652279131481*(8350/2783.333)</f>
        <v>0.98595695547312145</v>
      </c>
      <c r="N56" s="2">
        <f>0.258461522147705*(8350/2783.333)</f>
        <v>0.77538465930355216</v>
      </c>
      <c r="O56" s="2">
        <f>0.432298549303833*(8350/2783.333)</f>
        <v>1.2968958032283604</v>
      </c>
      <c r="P56" s="2">
        <f>0.2702796069964*(8350/2783.333)</f>
        <v>0.81083891809565733</v>
      </c>
      <c r="Q56" s="2">
        <f>0.509864721722854*(8350/2783.333)</f>
        <v>1.5295943483535146</v>
      </c>
      <c r="R56" s="2">
        <f>0.601819424402839*(8350/2783.333)</f>
        <v>1.8054584894310908</v>
      </c>
      <c r="S56" s="2">
        <f>0.288903082840386*(8350/2783.333)</f>
        <v>0.86670935231868573</v>
      </c>
      <c r="T56" s="2">
        <f t="shared" si="0"/>
        <v>0.10069243236843764</v>
      </c>
      <c r="U56" s="2">
        <f t="shared" si="1"/>
        <v>0.11437794326585224</v>
      </c>
      <c r="V56" s="2">
        <f t="shared" si="2"/>
        <v>0.11043877033537902</v>
      </c>
      <c r="W56" s="2">
        <f t="shared" si="3"/>
        <v>0.10705744606724045</v>
      </c>
      <c r="X56" s="2">
        <f t="shared" si="4"/>
        <v>0.11728533803050227</v>
      </c>
      <c r="Y56" s="2">
        <f t="shared" si="5"/>
        <v>0.10928020503416074</v>
      </c>
      <c r="Z56" s="2">
        <f t="shared" si="6"/>
        <v>0.10579568013572224</v>
      </c>
      <c r="AA56" s="2">
        <f t="shared" si="7"/>
        <v>0.11798772791544039</v>
      </c>
      <c r="AB56" s="2">
        <f t="shared" si="8"/>
        <v>0.10026757173055721</v>
      </c>
      <c r="AC56" s="2">
        <f t="shared" si="9"/>
        <v>0.1151901624778385</v>
      </c>
      <c r="AD56" s="2">
        <f t="shared" si="10"/>
        <v>0.10227444344259566</v>
      </c>
      <c r="AE56" s="2">
        <f t="shared" si="11"/>
        <v>0.10987695088187602</v>
      </c>
      <c r="AF56" s="2">
        <f t="shared" si="12"/>
        <v>0.11908712371493149</v>
      </c>
      <c r="AG56" s="2">
        <f t="shared" si="13"/>
        <v>9.9235315312320327E-2</v>
      </c>
      <c r="AH56" s="2">
        <f t="shared" si="14"/>
        <v>0.1199891551819615</v>
      </c>
      <c r="AI56" s="2">
        <f t="shared" si="15"/>
        <v>0.10099811712417744</v>
      </c>
      <c r="AJ56" s="2">
        <f>0.0845936744728128*(8350/2783.333)</f>
        <v>0.25378105381137894</v>
      </c>
      <c r="AK56" s="2">
        <f>0.439171239061696*(8350/2783.333)</f>
        <v>1.3175138749711821</v>
      </c>
      <c r="AL56" s="2">
        <f>0.459890422540227*(8350/2783.333)</f>
        <v>1.3796714328507926</v>
      </c>
      <c r="AM56" s="2">
        <f>0.257122605320206*(8350/2783.333)</f>
        <v>0.77136790834000812</v>
      </c>
      <c r="AN56" s="2">
        <f>0.298753897774952*(8350/2783.333)</f>
        <v>0.89626180066159855</v>
      </c>
      <c r="AO56" s="2">
        <f>0.135509698222779*(8350/2783.333)</f>
        <v>0.40652914335446255</v>
      </c>
      <c r="AP56" s="2">
        <f>0.154924523773103*(8350/2783.333)</f>
        <v>0.46477362698082031</v>
      </c>
      <c r="AQ56" s="2">
        <f>0.14517114764403*(8350/2783.333)</f>
        <v>0.43551349508939363</v>
      </c>
      <c r="AR56" s="2">
        <f>0.212995462889881*(8350/2783.333)</f>
        <v>0.63898646519496727</v>
      </c>
      <c r="AS56" s="2">
        <f>0.190367426550884*(8350/2783.333)</f>
        <v>0.57110234804814286</v>
      </c>
      <c r="AT56" s="2">
        <f>0.195756634620906*(8350/2783.333)</f>
        <v>0.58726997419445237</v>
      </c>
      <c r="AU56" s="2">
        <f>0.124065735479171*(8350/2783.333)</f>
        <v>0.37219725101203316</v>
      </c>
      <c r="AV56" s="2">
        <f>0.0986684518459548*(8350/2783.333)</f>
        <v>0.29600539098761175</v>
      </c>
      <c r="AW56" s="2">
        <f>0.0823797940063075*(8350/2783.333)</f>
        <v>0.24713941161645683</v>
      </c>
    </row>
    <row r="57" spans="1:49" x14ac:dyDescent="0.25">
      <c r="A57" s="5">
        <v>45679</v>
      </c>
      <c r="B57" s="2">
        <f>0.247021791099901*(8350/2783.333)</f>
        <v>0.74106546205005652</v>
      </c>
      <c r="C57" s="2">
        <f>0.254705974399325*(8350/2783.333)</f>
        <v>0.764118014709113</v>
      </c>
      <c r="D57" s="2">
        <f>0.202648090309352*(8350/2783.333)</f>
        <v>0.60794434373576123</v>
      </c>
      <c r="E57" s="2">
        <f>0.239519142096418*(8350/2783.333)</f>
        <v>0.71855751234404464</v>
      </c>
      <c r="F57" s="2">
        <f>0.202709246992652*(8350/2783.333)</f>
        <v>0.60812781380763337</v>
      </c>
      <c r="G57" s="2">
        <f>0.240217119995865*(8350/2783.333)</f>
        <v>0.72065144629315769</v>
      </c>
      <c r="H57" s="2">
        <f>0.247343837034081*(8350/2783.333)</f>
        <v>0.74203159996830248</v>
      </c>
      <c r="I57" s="2">
        <f>0.228333700520409*(8350/2783.333)</f>
        <v>0.685001183597296</v>
      </c>
      <c r="J57" s="2">
        <f>0.19567941365563*(8350/2783.333)</f>
        <v>0.58703831127088024</v>
      </c>
      <c r="K57" s="2">
        <f>0.282841228117644*(8350/2783.333)</f>
        <v>0.84852378597254741</v>
      </c>
      <c r="L57" s="2">
        <f>0.237566731883331*(8350/2783.333)</f>
        <v>0.71270028100331917</v>
      </c>
      <c r="M57" s="2">
        <f>0.352001569740018*(8350/2783.333)</f>
        <v>1.0560048356876999</v>
      </c>
      <c r="N57" s="2">
        <f>0.363264517408816*(8350/2783.333)</f>
        <v>1.0897936827406627</v>
      </c>
      <c r="O57" s="2">
        <f>0.464974460502298*(8350/2783.333)</f>
        <v>1.3949235485636058</v>
      </c>
      <c r="P57" s="2">
        <f>0.324594169167925*(8350/2783.333)</f>
        <v>0.97378262412444938</v>
      </c>
      <c r="Q57" s="2">
        <f>0.307522477856893*(8350/2783.333)</f>
        <v>0.92256754405780872</v>
      </c>
      <c r="R57" s="2">
        <f>0.658391194662104*(8350/2783.333)</f>
        <v>1.9751738205340754</v>
      </c>
      <c r="S57" s="2">
        <f>0.180737768624946*(8350/2783.333)</f>
        <v>0.54221337081056975</v>
      </c>
      <c r="T57" s="2">
        <f t="shared" si="0"/>
        <v>0.10069243236843764</v>
      </c>
      <c r="U57" s="2">
        <f t="shared" si="1"/>
        <v>0.11437794326585224</v>
      </c>
      <c r="V57" s="2">
        <f t="shared" si="2"/>
        <v>0.11043877033537902</v>
      </c>
      <c r="W57" s="2">
        <f t="shared" si="3"/>
        <v>0.10705744606724045</v>
      </c>
      <c r="X57" s="2">
        <f t="shared" si="4"/>
        <v>0.11728533803050227</v>
      </c>
      <c r="Y57" s="2">
        <f t="shared" si="5"/>
        <v>0.10928020503416074</v>
      </c>
      <c r="Z57" s="2">
        <f t="shared" si="6"/>
        <v>0.10579568013572224</v>
      </c>
      <c r="AA57" s="2">
        <f t="shared" si="7"/>
        <v>0.11798772791544039</v>
      </c>
      <c r="AB57" s="2">
        <f t="shared" si="8"/>
        <v>0.10026757173055721</v>
      </c>
      <c r="AC57" s="2">
        <f t="shared" si="9"/>
        <v>0.1151901624778385</v>
      </c>
      <c r="AD57" s="2">
        <f t="shared" si="10"/>
        <v>0.10227444344259566</v>
      </c>
      <c r="AE57" s="2">
        <f t="shared" si="11"/>
        <v>0.10987695088187602</v>
      </c>
      <c r="AF57" s="2">
        <f t="shared" si="12"/>
        <v>0.11908712371493149</v>
      </c>
      <c r="AG57" s="2">
        <f t="shared" si="13"/>
        <v>9.9235315312320327E-2</v>
      </c>
      <c r="AH57" s="2">
        <f t="shared" si="14"/>
        <v>0.1199891551819615</v>
      </c>
      <c r="AI57" s="2">
        <f t="shared" si="15"/>
        <v>0.10099811712417744</v>
      </c>
      <c r="AJ57" s="2">
        <f>0.306386767221424*(8350/2783.333)</f>
        <v>0.91916041174336383</v>
      </c>
      <c r="AK57" s="2">
        <f>0.455958672090676*(8350/2783.333)</f>
        <v>1.3678761800895343</v>
      </c>
      <c r="AL57" s="2">
        <f>0.419937442082045*(8350/2783.333)</f>
        <v>1.2598124771218799</v>
      </c>
      <c r="AM57" s="2">
        <f>0.354948172382907*(8350/2783.333)</f>
        <v>1.0648446446750253</v>
      </c>
      <c r="AN57" s="2">
        <f>0.27577282871534*(8350/2783.333)</f>
        <v>0.82731858522609147</v>
      </c>
      <c r="AO57" s="2">
        <f>0.173118116672273*(8350/2783.333)</f>
        <v>0.51935441221495182</v>
      </c>
      <c r="AP57" s="2">
        <f>0.170416976150413*(8350/2783.333)</f>
        <v>0.51125098967890248</v>
      </c>
      <c r="AQ57" s="2">
        <f>0.164820917920234*(8350/2783.333)</f>
        <v>0.4944628129778062</v>
      </c>
      <c r="AR57" s="2">
        <f>0.336480562540763*(8350/2783.333)</f>
        <v>1.0094418085135224</v>
      </c>
      <c r="AS57" s="2">
        <f>0.191975259545402*(8350/2783.333)</f>
        <v>0.57592584760936016</v>
      </c>
      <c r="AT57" s="2">
        <f>0.23920345888769*(8350/2783.333)</f>
        <v>0.71761046260444361</v>
      </c>
      <c r="AU57" s="2">
        <f>0.214792951130382*(8350/2783.333)</f>
        <v>0.64437893056227691</v>
      </c>
      <c r="AV57" s="2">
        <f>0.181692455283053*(8350/2783.333)</f>
        <v>0.5450774311278942</v>
      </c>
      <c r="AW57" s="2">
        <f>0.0934155777316808*(8350/2783.333)</f>
        <v>0.28024676675752935</v>
      </c>
    </row>
    <row r="58" spans="1:49" x14ac:dyDescent="0.25">
      <c r="A58" s="5">
        <v>45680</v>
      </c>
      <c r="B58" s="2">
        <f>0.246554831192339*(8350/2783.333)</f>
        <v>0.73966458215960285</v>
      </c>
      <c r="C58" s="2">
        <f>0.27969599452907*(8350/2783.333)</f>
        <v>0.8390880840767998</v>
      </c>
      <c r="D58" s="2">
        <f>0.231989030025957*(8350/2783.333)</f>
        <v>0.69596717342723213</v>
      </c>
      <c r="E58" s="2">
        <f>0.358583783331967*(8350/2783.333)</f>
        <v>1.0757514788284146</v>
      </c>
      <c r="F58" s="2">
        <f>0.367532565356619*(8350/2783.333)</f>
        <v>1.1025978281175006</v>
      </c>
      <c r="G58" s="2">
        <f>0.41931390768509*(8350/2783.333)</f>
        <v>1.2579418737069916</v>
      </c>
      <c r="H58" s="2">
        <f>0.416855540020758*(8350/2783.333)</f>
        <v>1.2505667698307485</v>
      </c>
      <c r="I58" s="2">
        <f>0.364867933688734*(8350/2783.333)</f>
        <v>1.0946039321564944</v>
      </c>
      <c r="J58" s="2">
        <f>0.232517845781083*(8350/2783.333)</f>
        <v>0.69755362088260442</v>
      </c>
      <c r="K58" s="2">
        <f>0.317410711554245*(8350/2783.333)</f>
        <v>0.95223224870252487</v>
      </c>
      <c r="L58" s="2">
        <f>0.361550770589518*(8350/2783.333)</f>
        <v>1.0846524416670484</v>
      </c>
      <c r="M58" s="2">
        <f>0.548488052974121*(8350/2783.333)</f>
        <v>1.6454643559839635</v>
      </c>
      <c r="N58" s="2">
        <f>0.450731678867338*(8350/2783.333)</f>
        <v>1.3521951985415599</v>
      </c>
      <c r="O58" s="2">
        <f>0.514927290265469*(8350/2783.333)</f>
        <v>1.5447820558002447</v>
      </c>
      <c r="P58" s="2">
        <f>0.650912610150819*(8350/2783.333)</f>
        <v>1.9527380643133043</v>
      </c>
      <c r="Q58" s="2">
        <f>0.908417626307324*(8350/2783.333)</f>
        <v>2.7252532052996017</v>
      </c>
      <c r="R58" s="2">
        <f>0.459273450657454*(8350/2783.333)</f>
        <v>1.377820516980808</v>
      </c>
      <c r="S58" s="2">
        <f>0.18320307493185*(8350/2783.333)</f>
        <v>0.54960929061702257</v>
      </c>
      <c r="T58" s="2">
        <f t="shared" si="0"/>
        <v>0.10069243236843764</v>
      </c>
      <c r="U58" s="2">
        <f t="shared" si="1"/>
        <v>0.11437794326585224</v>
      </c>
      <c r="V58" s="2">
        <f t="shared" si="2"/>
        <v>0.11043877033537902</v>
      </c>
      <c r="W58" s="2">
        <f t="shared" si="3"/>
        <v>0.10705744606724045</v>
      </c>
      <c r="X58" s="2">
        <f t="shared" si="4"/>
        <v>0.11728533803050227</v>
      </c>
      <c r="Y58" s="2">
        <f t="shared" si="5"/>
        <v>0.10928020503416074</v>
      </c>
      <c r="Z58" s="2">
        <f t="shared" si="6"/>
        <v>0.10579568013572224</v>
      </c>
      <c r="AA58" s="2">
        <f t="shared" si="7"/>
        <v>0.11798772791544039</v>
      </c>
      <c r="AB58" s="2">
        <f t="shared" si="8"/>
        <v>0.10026757173055721</v>
      </c>
      <c r="AC58" s="2">
        <f t="shared" si="9"/>
        <v>0.1151901624778385</v>
      </c>
      <c r="AD58" s="2">
        <f t="shared" si="10"/>
        <v>0.10227444344259566</v>
      </c>
      <c r="AE58" s="2">
        <f t="shared" si="11"/>
        <v>0.10987695088187602</v>
      </c>
      <c r="AF58" s="2">
        <f t="shared" si="12"/>
        <v>0.11908712371493149</v>
      </c>
      <c r="AG58" s="2">
        <f t="shared" si="13"/>
        <v>9.9235315312320327E-2</v>
      </c>
      <c r="AH58" s="2">
        <f t="shared" si="14"/>
        <v>0.1199891551819615</v>
      </c>
      <c r="AI58" s="2">
        <f t="shared" si="15"/>
        <v>0.10099811712417744</v>
      </c>
      <c r="AJ58" s="2">
        <f>0.176161021034782*(8350/2783.333)</f>
        <v>0.52848312639573869</v>
      </c>
      <c r="AK58" s="2">
        <f>0.329753148783526*(8350/2783.333)</f>
        <v>0.98925956482477762</v>
      </c>
      <c r="AL58" s="2">
        <f>0.279383431693188*(8350/2783.333)</f>
        <v>0.83815039545685588</v>
      </c>
      <c r="AM58" s="2">
        <f>0.30801833953526*(8350/2783.333)</f>
        <v>0.9240551292710647</v>
      </c>
      <c r="AN58" s="2">
        <f>0.265524514134703*(8350/2783.333)</f>
        <v>0.79657363780214852</v>
      </c>
      <c r="AO58" s="2">
        <f>0.117451687776792*(8350/2783.333)</f>
        <v>0.35235510552859223</v>
      </c>
      <c r="AP58" s="2">
        <f>0.166752094942877*(8350/2783.333)</f>
        <v>0.50025634473957115</v>
      </c>
      <c r="AQ58" s="2">
        <f>0.16702304734774*(8350/2783.333)</f>
        <v>0.50106920205150796</v>
      </c>
      <c r="AR58" s="2">
        <f>0.164973479692316*(8350/2783.333)</f>
        <v>0.49492049834886276</v>
      </c>
      <c r="AS58" s="2">
        <f>0.204516356902639*(8350/2783.333)</f>
        <v>0.61354914418685613</v>
      </c>
      <c r="AT58" s="2">
        <f>0.12771726831632*(8350/2783.333)</f>
        <v>0.38315185083540892</v>
      </c>
      <c r="AU58" s="2">
        <f>0.0986886532220676*(8350/2783.333)</f>
        <v>0.2960659951232083</v>
      </c>
      <c r="AV58" s="2">
        <f>0.0893747201179214*(8350/2783.333)</f>
        <v>0.2681241924644458</v>
      </c>
      <c r="AW58" s="2">
        <f>0.0704114088393534*(8350/2783.333)</f>
        <v>0.21123425181557534</v>
      </c>
    </row>
    <row r="59" spans="1:49" x14ac:dyDescent="0.25">
      <c r="A59" s="5">
        <v>45681</v>
      </c>
      <c r="B59" s="2">
        <f>0.21340067775549*(8350/2783.333)</f>
        <v>0.6402021099373828</v>
      </c>
      <c r="C59" s="2">
        <f>0.230196531579767*(8350/2783.333)</f>
        <v>0.69058967744465061</v>
      </c>
      <c r="D59" s="2">
        <f>0.18269625130206*(8350/2783.333)</f>
        <v>0.54808881954556044</v>
      </c>
      <c r="E59" s="2">
        <f>0.215428241924244*(8350/2783.333)</f>
        <v>0.6462848031721099</v>
      </c>
      <c r="F59" s="2">
        <f>0.187476760224418*(8350/2783.333)</f>
        <v>0.56243034803018099</v>
      </c>
      <c r="G59" s="2">
        <f>0.219369874868019*(8350/2783.333)</f>
        <v>0.65810970341958974</v>
      </c>
      <c r="H59" s="2">
        <f>0.216306482966098*(8350/2783.333)</f>
        <v>0.6489195266132064</v>
      </c>
      <c r="I59" s="2">
        <f>0.18080301184065*(8350/2783.333)</f>
        <v>0.54240910048112367</v>
      </c>
      <c r="J59" s="2">
        <f>0.212316124938093*(8350/2783.333)</f>
        <v>0.63694845109553</v>
      </c>
      <c r="K59" s="2">
        <f>0.29069792889869*(8350/2783.333)</f>
        <v>0.87209389113845115</v>
      </c>
      <c r="L59" s="2">
        <f>0.229245655460097*(8350/2783.333)</f>
        <v>0.68773704874400876</v>
      </c>
      <c r="M59" s="2">
        <f>0.24803114363408*(8350/2783.333)</f>
        <v>0.74409352001523787</v>
      </c>
      <c r="N59" s="2">
        <f>0.216697922532374*(8350/2783.333)</f>
        <v>0.6500938454526729</v>
      </c>
      <c r="O59" s="2">
        <f>0.200562489425062*(8350/2783.333)</f>
        <v>0.60168754033357463</v>
      </c>
      <c r="P59" s="2">
        <f>0.197429122813957*(8350/2783.333)</f>
        <v>0.59228743937449901</v>
      </c>
      <c r="Q59" s="2">
        <f>0.202813904108073*(8350/2783.333)</f>
        <v>0.6084417851914995</v>
      </c>
      <c r="R59" s="2">
        <f>0.157061099009275*(8350/2783.333)</f>
        <v>0.47118335345697004</v>
      </c>
      <c r="S59" s="2">
        <f>0.256700019206444*(8350/2783.333)</f>
        <v>0.77010014984689623</v>
      </c>
      <c r="T59" s="2">
        <f t="shared" si="0"/>
        <v>0.10069243236843764</v>
      </c>
      <c r="U59" s="2">
        <f t="shared" si="1"/>
        <v>0.11437794326585224</v>
      </c>
      <c r="V59" s="2">
        <f t="shared" si="2"/>
        <v>0.11043877033537902</v>
      </c>
      <c r="W59" s="2">
        <f t="shared" si="3"/>
        <v>0.10705744606724045</v>
      </c>
      <c r="X59" s="2">
        <f t="shared" si="4"/>
        <v>0.11728533803050227</v>
      </c>
      <c r="Y59" s="2">
        <f t="shared" si="5"/>
        <v>0.10928020503416074</v>
      </c>
      <c r="Z59" s="2">
        <f t="shared" si="6"/>
        <v>0.10579568013572224</v>
      </c>
      <c r="AA59" s="2">
        <f t="shared" si="7"/>
        <v>0.11798772791544039</v>
      </c>
      <c r="AB59" s="2">
        <f t="shared" si="8"/>
        <v>0.10026757173055721</v>
      </c>
      <c r="AC59" s="2">
        <f t="shared" si="9"/>
        <v>0.1151901624778385</v>
      </c>
      <c r="AD59" s="2">
        <f t="shared" si="10"/>
        <v>0.10227444344259566</v>
      </c>
      <c r="AE59" s="2">
        <f t="shared" si="11"/>
        <v>0.10987695088187602</v>
      </c>
      <c r="AF59" s="2">
        <f t="shared" si="12"/>
        <v>0.11908712371493149</v>
      </c>
      <c r="AG59" s="2">
        <f t="shared" si="13"/>
        <v>9.9235315312320327E-2</v>
      </c>
      <c r="AH59" s="2">
        <f t="shared" si="14"/>
        <v>0.1199891551819615</v>
      </c>
      <c r="AI59" s="2">
        <f t="shared" si="15"/>
        <v>0.10099811712417744</v>
      </c>
      <c r="AJ59" s="2">
        <f>0.232405202449502*(8350/2783.333)</f>
        <v>0.69721569084739088</v>
      </c>
      <c r="AK59" s="2">
        <f>0.624432553560078*(8350/2783.333)</f>
        <v>1.8732978850272848</v>
      </c>
      <c r="AL59" s="2">
        <f>0.425973503877885*(8350/2783.333)</f>
        <v>1.2779206646780465</v>
      </c>
      <c r="AM59" s="2">
        <f>0.461697017522272*(8350/2783.333)</f>
        <v>1.3850912184460049</v>
      </c>
      <c r="AN59" s="2">
        <f>0.245959549935304*(8350/2783.333)</f>
        <v>0.73787873817462224</v>
      </c>
      <c r="AO59" s="2">
        <f>0.117750167288296*(8350/2783.333)</f>
        <v>0.35325054417034241</v>
      </c>
      <c r="AP59" s="2">
        <f>0.133601578565622*(8350/2783.333)</f>
        <v>0.40080478369743888</v>
      </c>
      <c r="AQ59" s="2">
        <f>0.133144133078422*(8350/2783.333)</f>
        <v>0.39943244707148601</v>
      </c>
      <c r="AR59" s="2">
        <f>0.138349046831081*(8350/2783.333)</f>
        <v>0.41504719019949188</v>
      </c>
      <c r="AS59" s="2">
        <f>0.151297084784106*(8350/2783.333)</f>
        <v>0.45389130871055916</v>
      </c>
      <c r="AT59" s="2">
        <f>0.145915749424294*(8350/2783.333)</f>
        <v>0.43774730069770729</v>
      </c>
      <c r="AU59" s="2">
        <f>0.124065735479171*(8350/2783.333)</f>
        <v>0.37219725101203316</v>
      </c>
      <c r="AV59" s="2">
        <f>0.0923177351651319*(8350/2783.333)</f>
        <v>0.2769532386634484</v>
      </c>
      <c r="AW59" s="2">
        <f>0.0746081153264672*(8350/2783.333)</f>
        <v>0.22382437278471562</v>
      </c>
    </row>
    <row r="60" spans="1:49" x14ac:dyDescent="0.25">
      <c r="A60" s="5">
        <v>45682</v>
      </c>
      <c r="B60" s="2">
        <f>0.225074675444522*(8350/2783.333)</f>
        <v>0.67522410719872816</v>
      </c>
      <c r="C60" s="2">
        <f>0.196075542556461*(8350/2783.333)</f>
        <v>0.58822669811569439</v>
      </c>
      <c r="D60" s="2">
        <f>0.178784126006513*(8350/2783.333)</f>
        <v>0.53635244225336409</v>
      </c>
      <c r="E60" s="2">
        <f>0.217281388091334*(8350/2783.333)</f>
        <v>0.65184424233918159</v>
      </c>
      <c r="F60" s="2">
        <f>0.187476760224418*(8350/2783.333)</f>
        <v>0.56243034803018099</v>
      </c>
      <c r="G60" s="2">
        <f>0.226003089226879*(8350/2783.333)</f>
        <v>0.67800934887936171</v>
      </c>
      <c r="H60" s="2">
        <f>0.223468949289478*(8350/2783.333)</f>
        <v>0.67040692815669034</v>
      </c>
      <c r="I60" s="2">
        <f>0.20410236903661*(8350/2783.333)</f>
        <v>0.61230718044003185</v>
      </c>
      <c r="J60" s="2">
        <f>0.183003824107087*(8350/2783.333)</f>
        <v>0.54901153807114667</v>
      </c>
      <c r="K60" s="2">
        <f>0.246700404524834*(8350/2783.333)</f>
        <v>0.74010130220938841</v>
      </c>
      <c r="L60" s="2">
        <f>0.230493816923582*(8350/2783.333)</f>
        <v>0.69148153358290543</v>
      </c>
      <c r="M60" s="2">
        <f>0.243625617104168*(8350/2783.333)</f>
        <v>0.73087693884267635</v>
      </c>
      <c r="N60" s="2">
        <f>0.207242013185507*(8350/2783.333)</f>
        <v>0.62172611401473854</v>
      </c>
      <c r="O60" s="2">
        <f>0.220844089479282*(8350/2783.333)</f>
        <v>0.66253234778303738</v>
      </c>
      <c r="P60" s="2">
        <f>0.72333202637952*(8350/2783.333)</f>
        <v>2.1699963390183608</v>
      </c>
      <c r="Q60" s="2">
        <f>0.741921560841859*(8350/2783.333)</f>
        <v>2.2257649490842537</v>
      </c>
      <c r="R60" s="2">
        <f>0.476766037513937*(8350/2783.333)</f>
        <v>1.43029828383502</v>
      </c>
      <c r="S60" s="2">
        <f>0.128041846314859*(8350/2783.333)</f>
        <v>0.38412558494764171</v>
      </c>
      <c r="T60" s="2">
        <f t="shared" si="0"/>
        <v>0.10069243236843764</v>
      </c>
      <c r="U60" s="2">
        <f t="shared" si="1"/>
        <v>0.11437794326585224</v>
      </c>
      <c r="V60" s="2">
        <f t="shared" si="2"/>
        <v>0.11043877033537902</v>
      </c>
      <c r="W60" s="2">
        <f t="shared" si="3"/>
        <v>0.10705744606724045</v>
      </c>
      <c r="X60" s="2">
        <f t="shared" si="4"/>
        <v>0.11728533803050227</v>
      </c>
      <c r="Y60" s="2">
        <f t="shared" si="5"/>
        <v>0.10928020503416074</v>
      </c>
      <c r="Z60" s="2">
        <f t="shared" si="6"/>
        <v>0.10579568013572224</v>
      </c>
      <c r="AA60" s="2">
        <f t="shared" si="7"/>
        <v>0.11798772791544039</v>
      </c>
      <c r="AB60" s="2">
        <f t="shared" si="8"/>
        <v>0.10026757173055721</v>
      </c>
      <c r="AC60" s="2">
        <f t="shared" si="9"/>
        <v>0.1151901624778385</v>
      </c>
      <c r="AD60" s="2">
        <f t="shared" si="10"/>
        <v>0.10227444344259566</v>
      </c>
      <c r="AE60" s="2">
        <f t="shared" si="11"/>
        <v>0.10987695088187602</v>
      </c>
      <c r="AF60" s="2">
        <f t="shared" si="12"/>
        <v>0.11908712371493149</v>
      </c>
      <c r="AG60" s="2">
        <f t="shared" si="13"/>
        <v>9.9235315312320327E-2</v>
      </c>
      <c r="AH60" s="2">
        <f t="shared" si="14"/>
        <v>0.1199891551819615</v>
      </c>
      <c r="AI60" s="2">
        <f t="shared" si="15"/>
        <v>0.10099811712417744</v>
      </c>
      <c r="AJ60" s="2">
        <f>0.23073758521079*(8350/2783.333)</f>
        <v>0.69221283853211257</v>
      </c>
      <c r="AK60" s="2">
        <f>0.602848711094247*(8350/2783.333)</f>
        <v>1.8085463498751171</v>
      </c>
      <c r="AL60" s="2">
        <f>0.387170249476053*(8350/2783.333)</f>
        <v>1.1615108875312607</v>
      </c>
      <c r="AM60" s="2">
        <f>0.4775606229919*(8350/2783.333)</f>
        <v>1.4326820405543863</v>
      </c>
      <c r="AN60" s="2">
        <f>0.388193734115063*(8350/2783.333)</f>
        <v>1.1645813418160071</v>
      </c>
      <c r="AO60" s="2">
        <f>0.198638114905858*(8350/2783.333)</f>
        <v>0.59591441608456963</v>
      </c>
      <c r="AP60" s="2">
        <f>0.134101335093922*(8350/2783.333)</f>
        <v>0.40230405346189307</v>
      </c>
      <c r="AQ60" s="2">
        <f>0.123827431654359*(8350/2783.333)</f>
        <v>0.37148233945198023</v>
      </c>
      <c r="AR60" s="2">
        <f>0.108294472312877*(8350/2783.333)</f>
        <v>0.32488345584682782</v>
      </c>
      <c r="AS60" s="2">
        <f>0.0995248623606395*(8350/2783.333)</f>
        <v>0.29857462283935837</v>
      </c>
      <c r="AT60" s="2">
        <f>0.10492817936129*(8350/2783.333)</f>
        <v>0.31478457578262098</v>
      </c>
      <c r="AU60" s="2">
        <f>0.104991457965662*(8350/2783.333)</f>
        <v>0.31497441161847212</v>
      </c>
      <c r="AV60" s="2">
        <f>0.103625108767573*(8350/2783.333)</f>
        <v>0.31087536353330025</v>
      </c>
      <c r="AW60" s="2">
        <f>0.0879754026557925*(8350/2783.333)</f>
        <v>0.26392623957531047</v>
      </c>
    </row>
    <row r="61" spans="1:49" x14ac:dyDescent="0.25">
      <c r="A61" s="5">
        <v>45683</v>
      </c>
      <c r="B61" s="2">
        <f>0.256360989251125*(8350/2783.333)</f>
        <v>0.76908305985913183</v>
      </c>
      <c r="C61" s="2">
        <f>0.273448489496633*(8350/2783.333)</f>
        <v>0.82034556673487802</v>
      </c>
      <c r="D61" s="2">
        <f>0.217514166432431*(8350/2783.333)</f>
        <v>0.65254257744610611</v>
      </c>
      <c r="E61" s="2">
        <f>0.228400265093876*(8350/2783.333)</f>
        <v>0.68520087734161328</v>
      </c>
      <c r="F61" s="2">
        <f>0.184742724137812*(8350/2783.333)</f>
        <v>0.55422823878807415</v>
      </c>
      <c r="G61" s="2">
        <f>0.226003089226879*(8350/2783.333)</f>
        <v>0.67800934887936171</v>
      </c>
      <c r="H61" s="2">
        <f>0.205801532358473*(8350/2783.333)</f>
        <v>0.61740467101609697</v>
      </c>
      <c r="I61" s="2">
        <f>0.188258806143357*(8350/2783.333)</f>
        <v>0.56477648606797404</v>
      </c>
      <c r="J61" s="2">
        <f>0.181815487586911*(8350/2783.333)</f>
        <v>0.54544652808367167</v>
      </c>
      <c r="K61" s="2">
        <f>0.23622480348344*(8350/2783.333)</f>
        <v>0.70867449532151605</v>
      </c>
      <c r="L61" s="2">
        <f>0.247968077412373*(8350/2783.333)</f>
        <v>0.74390432132745776</v>
      </c>
      <c r="M61" s="2">
        <f>0.248471696287072*(8350/2783.333)</f>
        <v>0.74541517813249458</v>
      </c>
      <c r="N61" s="2">
        <f>0.191088168051275*(8350/2783.333)</f>
        <v>0.57326457280826626</v>
      </c>
      <c r="O61" s="2">
        <f>0.258402608098207*(8350/2783.333)</f>
        <v>0.77520791713389392</v>
      </c>
      <c r="P61" s="2">
        <f>0.46641552594913*(8350/2783.333)</f>
        <v>1.3992467454218511</v>
      </c>
      <c r="Q61" s="2">
        <f>0.311295759793787*(8350/2783.333)</f>
        <v>0.93388739122416231</v>
      </c>
      <c r="R61" s="2">
        <f>0.227775811833356*(8350/2783.333)</f>
        <v>0.6833275173357003</v>
      </c>
      <c r="S61" s="2">
        <f>0.120800009038327*(8350/2783.333)</f>
        <v>0.36240007051618617</v>
      </c>
      <c r="T61" s="2">
        <f t="shared" si="0"/>
        <v>0.10069243236843764</v>
      </c>
      <c r="U61" s="2">
        <f t="shared" si="1"/>
        <v>0.11437794326585224</v>
      </c>
      <c r="V61" s="2">
        <f t="shared" si="2"/>
        <v>0.11043877033537902</v>
      </c>
      <c r="W61" s="2">
        <f t="shared" si="3"/>
        <v>0.10705744606724045</v>
      </c>
      <c r="X61" s="2">
        <f t="shared" si="4"/>
        <v>0.11728533803050227</v>
      </c>
      <c r="Y61" s="2">
        <f t="shared" si="5"/>
        <v>0.10928020503416074</v>
      </c>
      <c r="Z61" s="2">
        <f t="shared" si="6"/>
        <v>0.10579568013572224</v>
      </c>
      <c r="AA61" s="2">
        <f t="shared" si="7"/>
        <v>0.11798772791544039</v>
      </c>
      <c r="AB61" s="2">
        <f t="shared" si="8"/>
        <v>0.10026757173055721</v>
      </c>
      <c r="AC61" s="2">
        <f t="shared" si="9"/>
        <v>0.1151901624778385</v>
      </c>
      <c r="AD61" s="2">
        <f t="shared" si="10"/>
        <v>0.10227444344259566</v>
      </c>
      <c r="AE61" s="2">
        <f t="shared" si="11"/>
        <v>0.10987695088187602</v>
      </c>
      <c r="AF61" s="2">
        <f t="shared" si="12"/>
        <v>0.11908712371493149</v>
      </c>
      <c r="AG61" s="2">
        <f t="shared" si="13"/>
        <v>9.9235315312320327E-2</v>
      </c>
      <c r="AH61" s="2">
        <f t="shared" si="14"/>
        <v>0.1199891551819615</v>
      </c>
      <c r="AI61" s="2">
        <f t="shared" si="15"/>
        <v>0.10099811712417744</v>
      </c>
      <c r="AJ61" s="2">
        <f>0.19405000595914*(8350/2783.333)</f>
        <v>0.58215008759599485</v>
      </c>
      <c r="AK61" s="2">
        <f>0.288683892980487*(8350/2783.333)</f>
        <v>0.86605178266023763</v>
      </c>
      <c r="AL61" s="2">
        <f>0.257538636622527*(8350/2783.333)</f>
        <v>0.77261600239644379</v>
      </c>
      <c r="AM61" s="2">
        <f>0.771367815960618*(8350/2783.333)</f>
        <v>2.314103725020026</v>
      </c>
      <c r="AN61" s="2">
        <f>0.989428189512471*(8350/2783.333)</f>
        <v>2.9682849240206388</v>
      </c>
      <c r="AO61" s="2">
        <f>0.120287243136079*(8350/2783.333)</f>
        <v>0.36086177262521635</v>
      </c>
      <c r="AP61" s="2">
        <f>0.140431584452393*(8350/2783.333)</f>
        <v>0.42129480381164713</v>
      </c>
      <c r="AQ61" s="2">
        <f>0.252736700449116*(8350/2783.333)</f>
        <v>0.75821019215096319</v>
      </c>
      <c r="AR61" s="2">
        <f>0.207441900207169*(8350/2783.333)</f>
        <v>0.62232577515154053</v>
      </c>
      <c r="AS61" s="2">
        <f>0.21014377238345*(8350/2783.333)</f>
        <v>0.6304313926511167</v>
      </c>
      <c r="AT61" s="2">
        <f>0.123126660469263*(8350/2783.333)</f>
        <v>0.36938002564491901</v>
      </c>
      <c r="AU61" s="2">
        <f>0.110796672861078*(8350/2783.333)</f>
        <v>0.3323900583904254</v>
      </c>
      <c r="AV61" s="2">
        <f>0.0920079441075308*(8350/2783.333)</f>
        <v>0.27602386537934281</v>
      </c>
      <c r="AW61" s="2">
        <f>0.0744526817528704*(8350/2783.333)</f>
        <v>0.2233580720080808</v>
      </c>
    </row>
    <row r="62" spans="1:49" x14ac:dyDescent="0.25">
      <c r="A62" s="5">
        <v>45684</v>
      </c>
      <c r="B62" s="2">
        <f>0.231612114150379*(8350/2783.333)</f>
        <v>0.69483642566508075</v>
      </c>
      <c r="C62" s="2">
        <f>0.234521727371453*(8350/2783.333)</f>
        <v>0.70356526637367378</v>
      </c>
      <c r="D62" s="2">
        <f>0.196388689836476*(8350/2783.333)</f>
        <v>0.58916614006824741</v>
      </c>
      <c r="E62" s="2">
        <f>0.219134534258424*(8350/2783.333)</f>
        <v>0.65740368150625328</v>
      </c>
      <c r="F62" s="2">
        <f>0.213645391339076*(8350/2783.333)</f>
        <v>0.64093625077606065</v>
      </c>
      <c r="G62" s="2">
        <f>0.223160283073082*(8350/2783.333)</f>
        <v>0.66948092939660242</v>
      </c>
      <c r="H62" s="2">
        <f>0.233018904387319*(8350/2783.333)</f>
        <v>0.69905679688133471</v>
      </c>
      <c r="I62" s="2">
        <f>0.218547970498106*(8350/2783.333)</f>
        <v>0.65564399001455487</v>
      </c>
      <c r="J62" s="2">
        <f>0.305006373511812*(8350/2783.333)</f>
        <v>0.91501923011857822</v>
      </c>
      <c r="K62" s="2">
        <f>0.495495929257947*(8350/2783.333)</f>
        <v>1.4864879657963512</v>
      </c>
      <c r="L62" s="2">
        <f>0.287077136601573*(8350/2783.333)</f>
        <v>0.8612315129462178</v>
      </c>
      <c r="M62" s="2">
        <f>0.338784990150281*(8350/2783.333)</f>
        <v>1.0163550921700144</v>
      </c>
      <c r="N62" s="2">
        <f>0.271463397499647*(8350/2783.333)</f>
        <v>0.81439029003071184</v>
      </c>
      <c r="O62" s="2">
        <f>0.286571497062401*(8350/2783.333)</f>
        <v>0.8597145941470361</v>
      </c>
      <c r="P62" s="2">
        <f>0.400462129026564*(8350/2783.333)</f>
        <v>1.2013865309583176</v>
      </c>
      <c r="Q62" s="2">
        <f>0.553729124239251*(8350/2783.333)</f>
        <v>1.6611875716623739</v>
      </c>
      <c r="R62" s="2">
        <f>0.372554881773186*(8350/2783.333)</f>
        <v>1.1176647791716277</v>
      </c>
      <c r="S62" s="2">
        <f>0.216638791719244*(8350/2783.333)</f>
        <v>0.64991645299203826</v>
      </c>
      <c r="T62" s="2">
        <f t="shared" si="0"/>
        <v>0.10069243236843764</v>
      </c>
      <c r="U62" s="2">
        <f t="shared" si="1"/>
        <v>0.11437794326585224</v>
      </c>
      <c r="V62" s="2">
        <f t="shared" si="2"/>
        <v>0.11043877033537902</v>
      </c>
      <c r="W62" s="2">
        <f t="shared" si="3"/>
        <v>0.10705744606724045</v>
      </c>
      <c r="X62" s="2">
        <f t="shared" si="4"/>
        <v>0.11728533803050227</v>
      </c>
      <c r="Y62" s="2">
        <f t="shared" si="5"/>
        <v>0.10928020503416074</v>
      </c>
      <c r="Z62" s="2">
        <f t="shared" si="6"/>
        <v>0.10579568013572224</v>
      </c>
      <c r="AA62" s="2">
        <f t="shared" si="7"/>
        <v>0.11798772791544039</v>
      </c>
      <c r="AB62" s="2">
        <f t="shared" si="8"/>
        <v>0.10026757173055721</v>
      </c>
      <c r="AC62" s="2">
        <f t="shared" si="9"/>
        <v>0.1151901624778385</v>
      </c>
      <c r="AD62" s="2">
        <f t="shared" si="10"/>
        <v>0.10227444344259566</v>
      </c>
      <c r="AE62" s="2">
        <f t="shared" si="11"/>
        <v>0.10987695088187602</v>
      </c>
      <c r="AF62" s="2">
        <f t="shared" si="12"/>
        <v>0.11908712371493149</v>
      </c>
      <c r="AG62" s="2">
        <f t="shared" si="13"/>
        <v>9.9235315312320327E-2</v>
      </c>
      <c r="AH62" s="2">
        <f t="shared" si="14"/>
        <v>0.1199891551819615</v>
      </c>
      <c r="AI62" s="2">
        <f t="shared" si="15"/>
        <v>0.10099811712417744</v>
      </c>
      <c r="AJ62" s="2">
        <f>0.215122623793766*(8350/2783.333)</f>
        <v>0.64536794867087199</v>
      </c>
      <c r="AK62" s="2">
        <f>0.390008042333971*(8350/2783.333)</f>
        <v>1.1700242671245784</v>
      </c>
      <c r="AL62" s="2">
        <f>0.424823777821535*(8350/2783.333)</f>
        <v>1.2744714860959192</v>
      </c>
      <c r="AM62" s="2">
        <f>0.302730471045384*(8350/2783.333)</f>
        <v>0.90819152190160402</v>
      </c>
      <c r="AN62" s="2">
        <f>0.278257268613677*(8350/2783.333)</f>
        <v>0.83477190581371363</v>
      </c>
      <c r="AO62" s="2">
        <f>0.122973558739615*(8350/2783.333)</f>
        <v>0.36892072040096602</v>
      </c>
      <c r="AP62" s="2">
        <f>0.232719956678521*(8350/2783.333)</f>
        <v>0.6981599536475338</v>
      </c>
      <c r="AQ62" s="2">
        <f>0.276790729580332*(8350/2783.333)</f>
        <v>0.83037228818677922</v>
      </c>
      <c r="AR62" s="2">
        <f>0.227042709675563*(8350/2783.333)</f>
        <v>0.68112821059893003</v>
      </c>
      <c r="AS62" s="2">
        <f>0.224292702735205*(8350/2783.333)</f>
        <v>0.67287818878983041</v>
      </c>
      <c r="AT62" s="2">
        <f>0.128209119157076*(8350/2783.333)</f>
        <v>0.38462740353438979</v>
      </c>
      <c r="AU62" s="2">
        <f>0.122572965934635*(8350/2783.333)</f>
        <v>0.36771894184210219</v>
      </c>
      <c r="AV62" s="2">
        <f>0.106413228285983*(8350/2783.333)</f>
        <v>0.31923972309024995</v>
      </c>
      <c r="AW62" s="2">
        <f>0.0806700246967426*(8350/2783.333)</f>
        <v>0.24201010307347373</v>
      </c>
    </row>
    <row r="63" spans="1:49" x14ac:dyDescent="0.25">
      <c r="A63" s="5">
        <v>45685</v>
      </c>
      <c r="B63" s="2">
        <f>0.245620911377217*(8350/2783.333)</f>
        <v>0.73686282237869505</v>
      </c>
      <c r="C63" s="2">
        <f>0.249419623987263*(8350/2783.333)</f>
        <v>0.74825896157364102</v>
      </c>
      <c r="D63" s="2">
        <f>0.193650202129593*(8350/2783.333)</f>
        <v>0.58095067596370997</v>
      </c>
      <c r="E63" s="2">
        <f>0.234886276678692*(8350/2783.333)</f>
        <v>0.70465891442636508</v>
      </c>
      <c r="F63" s="2">
        <f>0.200756364073647*(8350/2783.333)</f>
        <v>0.60226916434898581</v>
      </c>
      <c r="G63" s="2">
        <f>0.240690921021498*(8350/2783.333)</f>
        <v>0.72207284954028472</v>
      </c>
      <c r="H63" s="2">
        <f>0.248298832543865*(8350/2783.333)</f>
        <v>0.74489658684076676</v>
      </c>
      <c r="I63" s="2">
        <f>0.238119430542712*(8350/2783.333)</f>
        <v>0.71435837718003692</v>
      </c>
      <c r="J63" s="2">
        <f>0.205582217990429*(8350/2783.333)</f>
        <v>0.61674672783317175</v>
      </c>
      <c r="K63" s="2">
        <f>0.265032706347274*(8350/2783.333)</f>
        <v>0.79509821426316463</v>
      </c>
      <c r="L63" s="2">
        <f>0.274595521966722*(8350/2783.333)</f>
        <v>0.82378666455725225</v>
      </c>
      <c r="M63" s="2">
        <f>0.357728754228905*(8350/2783.333)</f>
        <v>1.073186391212031</v>
      </c>
      <c r="N63" s="2">
        <f>0.264371465489497*(8350/2783.333)</f>
        <v>0.79311449145226121</v>
      </c>
      <c r="O63" s="2">
        <f>0.436054401165725*(8350/2783.333)</f>
        <v>1.3081633601634461</v>
      </c>
      <c r="P63" s="2">
        <f>0.71384853139719*(8350/2783.333)</f>
        <v>2.1415458506641269</v>
      </c>
      <c r="Q63" s="2">
        <f>0.579198777313289*(8350/2783.333)</f>
        <v>1.7375965400352595</v>
      </c>
      <c r="R63" s="2">
        <f>0.435081575217637*(8350/2783.333)</f>
        <v>1.3052448819696634</v>
      </c>
      <c r="S63" s="2">
        <f>0.169027563667149*(8350/2783.333)</f>
        <v>0.50708275172991912</v>
      </c>
      <c r="T63" s="2">
        <f t="shared" si="0"/>
        <v>0.10069243236843764</v>
      </c>
      <c r="U63" s="2">
        <f t="shared" si="1"/>
        <v>0.11437794326585224</v>
      </c>
      <c r="V63" s="2">
        <f t="shared" si="2"/>
        <v>0.11043877033537902</v>
      </c>
      <c r="W63" s="2">
        <f t="shared" si="3"/>
        <v>0.10705744606724045</v>
      </c>
      <c r="X63" s="2">
        <f t="shared" si="4"/>
        <v>0.11728533803050227</v>
      </c>
      <c r="Y63" s="2">
        <f t="shared" si="5"/>
        <v>0.10928020503416074</v>
      </c>
      <c r="Z63" s="2">
        <f t="shared" si="6"/>
        <v>0.10579568013572224</v>
      </c>
      <c r="AA63" s="2">
        <f t="shared" si="7"/>
        <v>0.11798772791544039</v>
      </c>
      <c r="AB63" s="2">
        <f t="shared" si="8"/>
        <v>0.10026757173055721</v>
      </c>
      <c r="AC63" s="2">
        <f t="shared" si="9"/>
        <v>0.1151901624778385</v>
      </c>
      <c r="AD63" s="2">
        <f t="shared" si="10"/>
        <v>0.10227444344259566</v>
      </c>
      <c r="AE63" s="2">
        <f t="shared" si="11"/>
        <v>0.10987695088187602</v>
      </c>
      <c r="AF63" s="2">
        <f t="shared" si="12"/>
        <v>0.11908712371493149</v>
      </c>
      <c r="AG63" s="2">
        <f t="shared" si="13"/>
        <v>9.9235315312320327E-2</v>
      </c>
      <c r="AH63" s="2">
        <f t="shared" si="14"/>
        <v>0.1199891551819615</v>
      </c>
      <c r="AI63" s="2">
        <f t="shared" si="15"/>
        <v>0.10099811712417744</v>
      </c>
      <c r="AJ63" s="2">
        <f>0.140989457454688*(8350/2783.333)</f>
        <v>0.42296842301896492</v>
      </c>
      <c r="AK63" s="2">
        <f>0.556683270264553*(8350/2783.333)</f>
        <v>1.6700500107996479</v>
      </c>
      <c r="AL63" s="2">
        <f>0.4047035718354*(8350/2783.333)</f>
        <v>1.2141108609086972</v>
      </c>
      <c r="AM63" s="2">
        <f>0.482517999701158*(8350/2783.333)</f>
        <v>1.4475541724632557</v>
      </c>
      <c r="AN63" s="2">
        <f>0.363038780144406*(8350/2783.333)</f>
        <v>1.0891164708663295</v>
      </c>
      <c r="AO63" s="2">
        <f>0.208786418296991*(8350/2783.333)</f>
        <v>0.62635932990406729</v>
      </c>
      <c r="AP63" s="2">
        <f>0.182577718339055*(8350/2783.333)</f>
        <v>0.54773322061395635</v>
      </c>
      <c r="AQ63" s="2">
        <f>0.164312734206194*(8350/2783.333)</f>
        <v>0.49293826165310584</v>
      </c>
      <c r="AR63" s="2">
        <f>0.169873682059414*(8350/2783.333)</f>
        <v>0.5096211072107103</v>
      </c>
      <c r="AS63" s="2">
        <f>0.212716305174678*(8350/2783.333)</f>
        <v>0.63814899194906438</v>
      </c>
      <c r="AT63" s="2">
        <f>0.185755667525533*(8350/2783.333)</f>
        <v>0.55726706931517078</v>
      </c>
      <c r="AU63" s="2">
        <f>0.195221083768695*(8350/2783.333)</f>
        <v>0.58566332144540556</v>
      </c>
      <c r="AV63" s="2">
        <f>0.0995978250187581*(8350/2783.333)</f>
        <v>0.29879351083992839</v>
      </c>
      <c r="AW63" s="2">
        <f>0.0702559752657566*(8350/2783.333)</f>
        <v>0.21076795103894053</v>
      </c>
    </row>
    <row r="64" spans="1:49" x14ac:dyDescent="0.25">
      <c r="A64" s="5">
        <v>45686</v>
      </c>
      <c r="B64" s="2">
        <f>0.209198038587439*(8350/2783.333)</f>
        <v>0.62759419092329938</v>
      </c>
      <c r="C64" s="2">
        <f>0.189828037524025*(8350/2783.333)</f>
        <v>0.56948418077377305</v>
      </c>
      <c r="D64" s="2">
        <f>0.166656537590316*(8350/2783.333)</f>
        <v>0.49996967264755637</v>
      </c>
      <c r="E64" s="2">
        <f>0.196896780253342*(8350/2783.333)</f>
        <v>0.59069041150139112</v>
      </c>
      <c r="F64" s="2">
        <f>0.171853696872383*(8350/2783.333)</f>
        <v>0.5155611523609992</v>
      </c>
      <c r="G64" s="2">
        <f>0.219369874868019*(8350/2783.333)</f>
        <v>0.65810970341958974</v>
      </c>
      <c r="H64" s="2">
        <f>0.213441496436745*(8350/2783.333)</f>
        <v>0.64032456599581267</v>
      </c>
      <c r="I64" s="2">
        <f>0.19851052330958*(8350/2783.333)</f>
        <v>0.59553164124989366</v>
      </c>
      <c r="J64" s="2">
        <f>0.160425430223745*(8350/2783.333)</f>
        <v>0.48127634830912197</v>
      </c>
      <c r="K64" s="2">
        <f>0.227844322650324*(8350/2783.333)</f>
        <v>0.68353304981121865</v>
      </c>
      <c r="L64" s="2">
        <f>0.237566731883331*(8350/2783.333)</f>
        <v>0.71270028100331917</v>
      </c>
      <c r="M64" s="2">
        <f>0.322484541989604*(8350/2783.333)</f>
        <v>0.96745374183153532</v>
      </c>
      <c r="N64" s="2">
        <f>0.537016851657502*(8350/2783.333)</f>
        <v>1.611050747912715</v>
      </c>
      <c r="O64" s="2">
        <f>0.289200593365726*(8350/2783.333)</f>
        <v>0.86760188400159577</v>
      </c>
      <c r="P64" s="2">
        <f>0.480640768422625*(8350/2783.333)</f>
        <v>1.4419224779532016</v>
      </c>
      <c r="Q64" s="2">
        <f>0.390063020226457*(8350/2783.333)</f>
        <v>1.1701892008217913</v>
      </c>
      <c r="R64" s="2">
        <f>0.48607060499079*(8350/2783.333)</f>
        <v>1.4582119896085373</v>
      </c>
      <c r="S64" s="2">
        <f>0.281507163919672*(8350/2783.333)</f>
        <v>0.84452159289932704</v>
      </c>
      <c r="T64" s="2">
        <f t="shared" si="0"/>
        <v>0.10069243236843764</v>
      </c>
      <c r="U64" s="2">
        <f t="shared" si="1"/>
        <v>0.11437794326585224</v>
      </c>
      <c r="V64" s="2">
        <f t="shared" si="2"/>
        <v>0.11043877033537902</v>
      </c>
      <c r="W64" s="2">
        <f t="shared" si="3"/>
        <v>0.10705744606724045</v>
      </c>
      <c r="X64" s="2">
        <f t="shared" si="4"/>
        <v>0.11728533803050227</v>
      </c>
      <c r="Y64" s="2">
        <f t="shared" si="5"/>
        <v>0.10928020503416074</v>
      </c>
      <c r="Z64" s="2">
        <f t="shared" si="6"/>
        <v>0.10579568013572224</v>
      </c>
      <c r="AA64" s="2">
        <f t="shared" si="7"/>
        <v>0.11798772791544039</v>
      </c>
      <c r="AB64" s="2">
        <f t="shared" si="8"/>
        <v>0.10026757173055721</v>
      </c>
      <c r="AC64" s="2">
        <f t="shared" si="9"/>
        <v>0.1151901624778385</v>
      </c>
      <c r="AD64" s="2">
        <f t="shared" si="10"/>
        <v>0.10227444344259566</v>
      </c>
      <c r="AE64" s="2">
        <f t="shared" si="11"/>
        <v>0.10987695088187602</v>
      </c>
      <c r="AF64" s="2">
        <f t="shared" si="12"/>
        <v>0.11908712371493149</v>
      </c>
      <c r="AG64" s="2">
        <f t="shared" si="13"/>
        <v>9.9235315312320327E-2</v>
      </c>
      <c r="AH64" s="2">
        <f t="shared" si="14"/>
        <v>0.1199891551819615</v>
      </c>
      <c r="AI64" s="2">
        <f t="shared" si="15"/>
        <v>0.10099811712417744</v>
      </c>
      <c r="AJ64" s="2">
        <f>0.170703364617181*(8350/2783.333)</f>
        <v>0.51211015518210179</v>
      </c>
      <c r="AK64" s="2">
        <f>0.649613703103547*(8350/2783.333)</f>
        <v>1.9488413427048126</v>
      </c>
      <c r="AL64" s="2">
        <f>0.432009565673726*(8350/2783.333)</f>
        <v>1.2960288522342134</v>
      </c>
      <c r="AM64" s="2">
        <f>0.376430138123027*(8350/2783.333)</f>
        <v>1.1292905496134573</v>
      </c>
      <c r="AN64" s="2">
        <f>0.415833127984055*(8350/2783.333)</f>
        <v>1.247499533353307</v>
      </c>
      <c r="AO64" s="2">
        <f>0.472045347443448*(8350/2783.333)</f>
        <v>1.4161362119274943</v>
      </c>
      <c r="AP64" s="2">
        <f>0.185243086489989*(8350/2783.333)</f>
        <v>0.55572932602437874</v>
      </c>
      <c r="AQ64" s="2">
        <f>0.220551731893263*(8350/2783.333)</f>
        <v>0.66165527491994292</v>
      </c>
      <c r="AR64" s="2">
        <f>0.240436596145632*(8350/2783.333)</f>
        <v>0.72130987482131304</v>
      </c>
      <c r="AS64" s="2">
        <f>0.204837923501543*(8350/2783.333)</f>
        <v>0.61451384409909982</v>
      </c>
      <c r="AT64" s="2">
        <f>0.189854424531834*(8350/2783.333)</f>
        <v>0.56956334180667978</v>
      </c>
      <c r="AU64" s="2">
        <f>0.140320337186335*(8350/2783.333)</f>
        <v>0.42096106197350247</v>
      </c>
      <c r="AV64" s="2">
        <f>0.109046452275592*(8350/2783.333)</f>
        <v>0.32713939600514708</v>
      </c>
      <c r="AW64" s="2">
        <f>0.0842449968894692*(8350/2783.333)</f>
        <v>0.25273502093607469</v>
      </c>
    </row>
    <row r="65" spans="1:49" x14ac:dyDescent="0.25">
      <c r="A65" s="5">
        <v>45687</v>
      </c>
      <c r="B65" s="2">
        <f>0.208264118772317*(8350/2783.333)</f>
        <v>0.62479243114239125</v>
      </c>
      <c r="C65" s="2">
        <f>0.178294182079527*(8350/2783.333)</f>
        <v>0.53488261029637896</v>
      </c>
      <c r="D65" s="2">
        <f>0.168221387708535*(8350/2783.333)</f>
        <v>0.50466422356443441</v>
      </c>
      <c r="E65" s="2">
        <f>0.29233380785849*(8350/2783.333)</f>
        <v>0.87700152860559399</v>
      </c>
      <c r="F65" s="2">
        <f>0.373391214113632*(8350/2783.333)</f>
        <v>1.1201737764934441</v>
      </c>
      <c r="G65" s="2">
        <f>0.431632734351545*(8350/2783.333)</f>
        <v>1.2948983581322815</v>
      </c>
      <c r="H65" s="2">
        <f>0.463172822245286*(8350/2783.333)</f>
        <v>1.3895186331452767</v>
      </c>
      <c r="I65" s="2">
        <f>0.349024370795482*(8350/2783.333)</f>
        <v>1.0470732377844381</v>
      </c>
      <c r="J65" s="2">
        <f>0.163594327610881*(8350/2783.333)</f>
        <v>0.4907830416090555</v>
      </c>
      <c r="K65" s="2">
        <f>0.228891882754464*(8350/2783.333)</f>
        <v>0.68667573050000574</v>
      </c>
      <c r="L65" s="2">
        <f>0.218844309931054*(8350/2783.333)</f>
        <v>0.65653300841987017</v>
      </c>
      <c r="M65" s="2">
        <f>0.227765721596483*(8350/2783.333)</f>
        <v>0.6832972466214533</v>
      </c>
      <c r="N65" s="2">
        <f>0.218667903646305*(8350/2783.333)</f>
        <v>0.65600378950224281</v>
      </c>
      <c r="O65" s="2">
        <f>0.525443675478768*(8350/2783.333)</f>
        <v>1.576331215218485</v>
      </c>
      <c r="P65" s="2">
        <f>0.378046595431966*(8350/2783.333)</f>
        <v>1.134139922121038</v>
      </c>
      <c r="Q65" s="2">
        <f>0.538635996491674*(8350/2783.333)</f>
        <v>1.6159081829969599</v>
      </c>
      <c r="R65" s="2">
        <f>0.596236683916727*(8350/2783.333)</f>
        <v>1.7887102659669807</v>
      </c>
      <c r="S65" s="2">
        <f>0.159628583372075*(8350/2783.333)</f>
        <v>0.47888580746781778</v>
      </c>
      <c r="T65" s="2">
        <f t="shared" si="0"/>
        <v>0.10069243236843764</v>
      </c>
      <c r="U65" s="2">
        <f t="shared" si="1"/>
        <v>0.11437794326585224</v>
      </c>
      <c r="V65" s="2">
        <f t="shared" si="2"/>
        <v>0.11043877033537902</v>
      </c>
      <c r="W65" s="2">
        <f t="shared" si="3"/>
        <v>0.10705744606724045</v>
      </c>
      <c r="X65" s="2">
        <f t="shared" si="4"/>
        <v>0.11728533803050227</v>
      </c>
      <c r="Y65" s="2">
        <f t="shared" si="5"/>
        <v>0.10928020503416074</v>
      </c>
      <c r="Z65" s="2">
        <f t="shared" si="6"/>
        <v>0.10579568013572224</v>
      </c>
      <c r="AA65" s="2">
        <f t="shared" si="7"/>
        <v>0.11798772791544039</v>
      </c>
      <c r="AB65" s="2">
        <f t="shared" si="8"/>
        <v>0.10026757173055721</v>
      </c>
      <c r="AC65" s="2">
        <f t="shared" si="9"/>
        <v>0.1151901624778385</v>
      </c>
      <c r="AD65" s="2">
        <f t="shared" si="10"/>
        <v>0.10227444344259566</v>
      </c>
      <c r="AE65" s="2">
        <f t="shared" si="11"/>
        <v>0.10987695088187602</v>
      </c>
      <c r="AF65" s="2">
        <f t="shared" si="12"/>
        <v>0.11908712371493149</v>
      </c>
      <c r="AG65" s="2">
        <f t="shared" si="13"/>
        <v>9.9235315312320327E-2</v>
      </c>
      <c r="AH65" s="2">
        <f t="shared" si="14"/>
        <v>0.1199891551819615</v>
      </c>
      <c r="AI65" s="2">
        <f t="shared" si="15"/>
        <v>0.10099811712417744</v>
      </c>
      <c r="AJ65" s="2">
        <f>0.216638639465322*(8350/2783.333)</f>
        <v>0.64991599623021612</v>
      </c>
      <c r="AK65" s="2">
        <f>0.469748349221623*(8350/2783.333)</f>
        <v>1.4092452164367522</v>
      </c>
      <c r="AL65" s="2">
        <f>0.322210727292246*(8350/2783.333)</f>
        <v>0.96663229764108627</v>
      </c>
      <c r="AM65" s="2">
        <f>0.451782264103755*(8350/2783.333)</f>
        <v>1.355346954628267</v>
      </c>
      <c r="AN65" s="2">
        <f>0.27577282871534*(8350/2783.333)</f>
        <v>0.82731858522609147</v>
      </c>
      <c r="AO65" s="2">
        <f>0.126256833366158*(8350/2783.333)</f>
        <v>0.37877054546021505</v>
      </c>
      <c r="AP65" s="2">
        <f>0.155424280301403*(8350/2783.333)</f>
        <v>0.46627289674527478</v>
      </c>
      <c r="AQ65" s="2">
        <f>0.194126178763195*(8350/2783.333)</f>
        <v>0.5823786060355256</v>
      </c>
      <c r="AR65" s="2">
        <f>0.174773884426513*(8350/2783.333)</f>
        <v>0.5243217160725574</v>
      </c>
      <c r="AS65" s="2">
        <f>0.24937489744968*(8350/2783.333)</f>
        <v>0.7481247819448219</v>
      </c>
      <c r="AT65" s="2">
        <f>0.155260915398658*(8350/2783.333)</f>
        <v>0.46578280197834671</v>
      </c>
      <c r="AU65" s="2">
        <f>0.229223056727559*(8350/2783.333)</f>
        <v>0.68766925253827516</v>
      </c>
      <c r="AV65" s="2">
        <f>0.128098602318061*(8350/2783.333)</f>
        <v>0.38429585297763696</v>
      </c>
      <c r="AW65" s="2">
        <f>0.112378473710491*(8350/2783.333)</f>
        <v>0.33713546150697765</v>
      </c>
    </row>
    <row r="66" spans="1:49" x14ac:dyDescent="0.25">
      <c r="A66" s="5">
        <v>45688</v>
      </c>
      <c r="B66" s="2">
        <f>0.272237626108208*(8350/2783.333)</f>
        <v>0.81671297613456062</v>
      </c>
      <c r="C66" s="2">
        <f>0.252303087848388*(8350/2783.333)</f>
        <v>0.75690935419298966</v>
      </c>
      <c r="D66" s="2">
        <f>0.205386578016235*(8350/2783.333)</f>
        <v>0.61615980784029778</v>
      </c>
      <c r="E66" s="2">
        <f>0.235812849762237*(8350/2783.333)</f>
        <v>0.7074386340099007</v>
      </c>
      <c r="F66" s="2">
        <f>0.20192809382505*(8350/2783.333)</f>
        <v>0.60578435402417408</v>
      </c>
      <c r="G66" s="2">
        <f>0.237848114867701*(8350/2783.333)</f>
        <v>0.71354443005752477</v>
      </c>
      <c r="H66" s="2">
        <f>0.246866339279189*(8350/2783.333)</f>
        <v>0.74059910653207051</v>
      </c>
      <c r="I66" s="2">
        <f>0.235789494823116*(8350/2783.333)</f>
        <v>0.70736856918414637</v>
      </c>
      <c r="J66" s="2">
        <f>0.203205544950078*(8350/2783.333)</f>
        <v>0.60961670785822175</v>
      </c>
      <c r="K66" s="2">
        <f>0.237272363587579*(8350/2783.333)</f>
        <v>0.71181717601030359</v>
      </c>
      <c r="L66" s="2">
        <f>0.267938660828135*(8350/2783.333)</f>
        <v>0.80381607874980299</v>
      </c>
      <c r="M66" s="2">
        <f>0.521614341141654*(8350/2783.333)</f>
        <v>1.5648432108313355</v>
      </c>
      <c r="N66" s="2">
        <f>0.428273894168529*(8350/2783.333)</f>
        <v>1.2848218363764645</v>
      </c>
      <c r="O66" s="2">
        <f>0.324505600867516*(8350/2783.333)</f>
        <v>0.97351691919140149</v>
      </c>
      <c r="P66" s="2">
        <f>0.309937858740688*(8350/2783.333)</f>
        <v>0.92981368757699689</v>
      </c>
      <c r="Q66" s="2">
        <f>0.257998152435154*(8350/2783.333)</f>
        <v>0.77399454999941941</v>
      </c>
      <c r="R66" s="2">
        <f>0.233358552319468*(8350/2783.333)</f>
        <v>0.70007574079981127</v>
      </c>
      <c r="S66" s="2">
        <f>0.103542864889994*(8350/2783.333)</f>
        <v>0.31062863187101697</v>
      </c>
      <c r="T66" s="2">
        <f t="shared" ref="T66:T129" si="16">0.0335641401031546*(8350/2783.333)</f>
        <v>0.10069243236843764</v>
      </c>
      <c r="U66" s="2">
        <f t="shared" ref="U66:U129" si="17">0.0381259765226317*(8350/2783.333)</f>
        <v>0.11437794326585224</v>
      </c>
      <c r="V66" s="2">
        <f t="shared" ref="V66:V129" si="18">0.036812919036393*(8350/2783.333)</f>
        <v>0.11043877033537902</v>
      </c>
      <c r="W66" s="2">
        <f t="shared" ref="W66:W129" si="19">0.0356858110819965*(8350/2783.333)</f>
        <v>0.10705744606724045</v>
      </c>
      <c r="X66" s="2">
        <f t="shared" ref="X66:X129" si="20">0.0390951079947847*(8350/2783.333)</f>
        <v>0.11728533803050227</v>
      </c>
      <c r="Y66" s="2">
        <f t="shared" ref="Y66:Y129" si="21">0.0364267306489037*(8350/2783.333)</f>
        <v>0.10928020503416074</v>
      </c>
      <c r="Z66" s="2">
        <f t="shared" ref="Z66:Z129" si="22">0.035265222488527*(8350/2783.333)</f>
        <v>0.10579568013572224</v>
      </c>
      <c r="AA66" s="2">
        <f t="shared" ref="AA66:AA129" si="23">0.0393292379283912*(8350/2783.333)</f>
        <v>0.11798772791544039</v>
      </c>
      <c r="AB66" s="2">
        <f t="shared" ref="AB66:AB129" si="24">0.0334225199074883*(8350/2783.333)</f>
        <v>0.10026757173055721</v>
      </c>
      <c r="AC66" s="2">
        <f t="shared" ref="AC66:AC129" si="25">0.0383967162275365*(8350/2783.333)</f>
        <v>0.1151901624778385</v>
      </c>
      <c r="AD66" s="2">
        <f t="shared" ref="AD66:AD129" si="26">0.0340914770647198*(8350/2783.333)</f>
        <v>0.10227444344259566</v>
      </c>
      <c r="AE66" s="2">
        <f t="shared" ref="AE66:AE129" si="27">0.0366256459076532*(8350/2783.333)</f>
        <v>0.10987695088187602</v>
      </c>
      <c r="AF66" s="2">
        <f t="shared" ref="AF66:AF129" si="28">0.0396957031510002*(8350/2783.333)</f>
        <v>0.11908712371493149</v>
      </c>
      <c r="AG66" s="2">
        <f t="shared" ref="AG66:AG129" si="29">0.0330784344759505*(8350/2783.333)</f>
        <v>9.9235315312320327E-2</v>
      </c>
      <c r="AH66" s="2">
        <f t="shared" ref="AH66:AH129" si="30">0.0399963802706676*(8350/2783.333)</f>
        <v>0.1199891551819615</v>
      </c>
      <c r="AI66" s="2">
        <f t="shared" ref="AI66:AI129" si="31">0.0336660350095315*(8350/2783.333)</f>
        <v>0.10099811712417744</v>
      </c>
      <c r="AJ66" s="2">
        <f>0.133864183798376*(8350/2783.333)</f>
        <v>0.40159259949004916</v>
      </c>
      <c r="AK66" s="2">
        <f>0.369023751047746*(8350/2783.333)</f>
        <v>1.1070713857266381</v>
      </c>
      <c r="AL66" s="2">
        <f>0.265011855988806*(8350/2783.333)</f>
        <v>0.79503566318026919</v>
      </c>
      <c r="AM66" s="2">
        <f>0.28290096420835*(8350/2783.333)</f>
        <v>0.84870299426612739</v>
      </c>
      <c r="AN66" s="2">
        <f>0.222978480875692*(8350/2783.333)</f>
        <v>0.66893552273911427</v>
      </c>
      <c r="AO66" s="2">
        <f>0.107900343408667*(8350/2783.333)</f>
        <v>0.32370106899259515</v>
      </c>
      <c r="AP66" s="2">
        <f>0.156090622339137*(8350/2783.333)</f>
        <v>0.46827192309788018</v>
      </c>
      <c r="AQ66" s="2">
        <f>0.140597494217672*(8350/2783.333)</f>
        <v>0.42179253316709059</v>
      </c>
      <c r="AR66" s="2">
        <f>0.253177122300088*(8350/2783.333)</f>
        <v>0.7595314578621164</v>
      </c>
      <c r="AS66" s="2">
        <f>0.152744134479172*(8350/2783.333)</f>
        <v>0.45823245831565473</v>
      </c>
      <c r="AT66" s="2">
        <f>0.194772932939394*(8350/2783.333)</f>
        <v>0.58431886879649031</v>
      </c>
      <c r="AU66" s="2">
        <f>0.108308723620185*(8350/2783.333)</f>
        <v>0.32492620977387382</v>
      </c>
      <c r="AV66" s="2">
        <f>0.0934020038667358*(8350/2783.333)</f>
        <v>0.28020604515781772</v>
      </c>
      <c r="AW66" s="2">
        <f>0.0800482904023554*(8350/2783.333)</f>
        <v>0.24014489996693447</v>
      </c>
    </row>
    <row r="67" spans="1:49" x14ac:dyDescent="0.25">
      <c r="A67" s="5">
        <v>45689</v>
      </c>
      <c r="B67" s="2">
        <f>0.248422670822584*(8350/2783.333)</f>
        <v>0.74526810172141777</v>
      </c>
      <c r="C67" s="2">
        <f>0.258070015570636*(8350/2783.333)</f>
        <v>0.77421013943168571</v>
      </c>
      <c r="D67" s="2">
        <f>0.208516278252673*(8350/2783.333)</f>
        <v>0.62554890967405519</v>
      </c>
      <c r="E67" s="2">
        <f>0.238592569012872*(8350/2783.333)</f>
        <v>0.71577779276050824</v>
      </c>
      <c r="F67" s="2">
        <f>0.196069445068037*(8350/2783.333)</f>
        <v>0.58820840564823107</v>
      </c>
      <c r="G67" s="2">
        <f>0.232636303585739*(8350/2783.333)</f>
        <v>0.69790899433913345</v>
      </c>
      <c r="H67" s="2">
        <f>0.310851038434723*(8350/2783.333)</f>
        <v>0.9325532269871909</v>
      </c>
      <c r="I67" s="2">
        <f>0.296367823532612*(8350/2783.333)</f>
        <v>0.88910357707730592</v>
      </c>
      <c r="J67" s="2">
        <f>0.261037922265304*(8350/2783.333)</f>
        <v>0.78311386058200405</v>
      </c>
      <c r="K67" s="2">
        <f>0.336266793428754*(8350/2783.333)</f>
        <v>1.0088005011006946</v>
      </c>
      <c r="L67" s="2">
        <f>0.321609603757994*(8350/2783.333)</f>
        <v>0.96482892682235699</v>
      </c>
      <c r="M67" s="2">
        <f>0.326449515866525*(8350/2783.333)</f>
        <v>0.97934866488684125</v>
      </c>
      <c r="N67" s="2">
        <f>0.357354574067024*(8350/2783.333)</f>
        <v>1.0720638505919535</v>
      </c>
      <c r="O67" s="2">
        <f>0.454833660475188*(8350/2783.333)</f>
        <v>1.3645011448388742</v>
      </c>
      <c r="P67" s="2">
        <f>0.467708729810357*(8350/2783.333)</f>
        <v>1.4031263574701558</v>
      </c>
      <c r="Q67" s="2">
        <f>0.482980087922482*(8350/2783.333)</f>
        <v>1.448940437293246</v>
      </c>
      <c r="R67" s="2">
        <f>0.419822084555598*(8350/2783.333)</f>
        <v>1.259466404501095</v>
      </c>
      <c r="S67" s="2">
        <f>0.0463785748986433*(8350/2783.333)</f>
        <v>0.13913574135889298</v>
      </c>
      <c r="T67" s="2">
        <f t="shared" si="16"/>
        <v>0.10069243236843764</v>
      </c>
      <c r="U67" s="2">
        <f t="shared" si="17"/>
        <v>0.11437794326585224</v>
      </c>
      <c r="V67" s="2">
        <f t="shared" si="18"/>
        <v>0.11043877033537902</v>
      </c>
      <c r="W67" s="2">
        <f t="shared" si="19"/>
        <v>0.10705744606724045</v>
      </c>
      <c r="X67" s="2">
        <f t="shared" si="20"/>
        <v>0.11728533803050227</v>
      </c>
      <c r="Y67" s="2">
        <f t="shared" si="21"/>
        <v>0.10928020503416074</v>
      </c>
      <c r="Z67" s="2">
        <f t="shared" si="22"/>
        <v>0.10579568013572224</v>
      </c>
      <c r="AA67" s="2">
        <f t="shared" si="23"/>
        <v>0.11798772791544039</v>
      </c>
      <c r="AB67" s="2">
        <f t="shared" si="24"/>
        <v>0.10026757173055721</v>
      </c>
      <c r="AC67" s="2">
        <f t="shared" si="25"/>
        <v>0.1151901624778385</v>
      </c>
      <c r="AD67" s="2">
        <f t="shared" si="26"/>
        <v>0.10227444344259566</v>
      </c>
      <c r="AE67" s="2">
        <f t="shared" si="27"/>
        <v>0.10987695088187602</v>
      </c>
      <c r="AF67" s="2">
        <f t="shared" si="28"/>
        <v>0.11908712371493149</v>
      </c>
      <c r="AG67" s="2">
        <f t="shared" si="29"/>
        <v>9.9235315312320327E-2</v>
      </c>
      <c r="AH67" s="2">
        <f t="shared" si="30"/>
        <v>0.1199891551819615</v>
      </c>
      <c r="AI67" s="2">
        <f t="shared" si="31"/>
        <v>0.10099811712417744</v>
      </c>
      <c r="AJ67" s="2">
        <f>0.147659926409533*(8350/2783.333)</f>
        <v>0.44297983228007715</v>
      </c>
      <c r="AK67" s="2">
        <f>0.217637078197127*(8350/2783.333)</f>
        <v>0.6529113127843531</v>
      </c>
      <c r="AL67" s="2">
        <f>0.274784527467785*(8350/2783.333)</f>
        <v>0.82435368112834817</v>
      </c>
      <c r="AM67" s="2">
        <f>0.492432753119675*(8350/2783.333)</f>
        <v>1.4772984362809933</v>
      </c>
      <c r="AN67" s="2">
        <f>0.343473815945007*(8350/2783.333)</f>
        <v>1.0304215712388032</v>
      </c>
      <c r="AO67" s="2">
        <f>0.219830160222636*(8350/2783.333)</f>
        <v>0.6594905596488142</v>
      </c>
      <c r="AP67" s="2">
        <f>0.17658063999945*(8350/2783.333)</f>
        <v>0.52974198344050494</v>
      </c>
      <c r="AQ67" s="2">
        <f>0.176339748771803*(8350/2783.333)</f>
        <v>0.52901930967101374</v>
      </c>
      <c r="AR67" s="2">
        <f>0.179347406635805*(8350/2783.333)</f>
        <v>0.53804228434361545</v>
      </c>
      <c r="AS67" s="2">
        <f>0.197924241625117*(8350/2783.333)</f>
        <v>0.59377279598586485</v>
      </c>
      <c r="AT67" s="2">
        <f>0.201003043588971*(8350/2783.333)</f>
        <v>0.60300920298358374</v>
      </c>
      <c r="AU67" s="2">
        <f>0.135842028552728*(8350/2783.333)</f>
        <v>0.40752613446371028</v>
      </c>
      <c r="AV67" s="2">
        <f>0.106877914872384*(8350/2783.333)</f>
        <v>0.32063378301640832</v>
      </c>
      <c r="AW67" s="2">
        <f>0.0845558640366628*(8350/2783.333)</f>
        <v>0.25366762248934438</v>
      </c>
    </row>
    <row r="68" spans="1:49" x14ac:dyDescent="0.25">
      <c r="A68" s="5">
        <v>45690</v>
      </c>
      <c r="B68" s="2">
        <f>0.239083472671359*(8350/2783.333)</f>
        <v>0.7172505039123418</v>
      </c>
      <c r="C68" s="2">
        <f>0.249419623987263*(8350/2783.333)</f>
        <v>0.74825896157364102</v>
      </c>
      <c r="D68" s="2">
        <f>0.201474452720688*(8350/2783.333)</f>
        <v>0.60442343054810233</v>
      </c>
      <c r="E68" s="2">
        <f>0.246005153681233*(8350/2783.333)</f>
        <v>0.73801554942879621</v>
      </c>
      <c r="F68" s="2">
        <f>0.198412904570842*(8350/2783.333)</f>
        <v>0.59523878499860861</v>
      </c>
      <c r="G68" s="2">
        <f>0.238795716918966*(8350/2783.333)</f>
        <v>0.71638723655177783</v>
      </c>
      <c r="H68" s="2">
        <f>0.392503154521263*(8350/2783.333)</f>
        <v>1.1775096045829041</v>
      </c>
      <c r="I68" s="2">
        <f>0.369061817984007*(8350/2783.333)</f>
        <v>1.107185586549098</v>
      </c>
      <c r="J68" s="2">
        <f>0.226972275353595*(8350/2783.333)</f>
        <v>0.68091690760772094</v>
      </c>
      <c r="K68" s="2">
        <f>0.278650987701086*(8350/2783.333)</f>
        <v>0.83595306321739837</v>
      </c>
      <c r="L68" s="2">
        <f>0.240895162452624*(8350/2783.333)</f>
        <v>0.72268557390704369</v>
      </c>
      <c r="M68" s="2">
        <f>0.249352801593054*(8350/2783.333)</f>
        <v>0.74805849436700678</v>
      </c>
      <c r="N68" s="2">
        <f>0.257673529702132*(8350/2783.333)</f>
        <v>0.77302068168372406</v>
      </c>
      <c r="O68" s="2">
        <f>0.230233719134013*(8350/2783.333)</f>
        <v>0.69070124012075096</v>
      </c>
      <c r="P68" s="2">
        <f>0.253467956800451*(8350/2783.333)</f>
        <v>0.76040396146769706</v>
      </c>
      <c r="Q68" s="2">
        <f>0.241018383719129*(8350/2783.333)</f>
        <v>0.72305523775082892</v>
      </c>
      <c r="R68" s="2">
        <f>0.509890297731534*(8350/2783.333)</f>
        <v>1.5296710763887418</v>
      </c>
      <c r="S68" s="2">
        <f>0.0753459240047727*(8350/2783.333)</f>
        <v>0.22603779908471316</v>
      </c>
      <c r="T68" s="2">
        <f t="shared" si="16"/>
        <v>0.10069243236843764</v>
      </c>
      <c r="U68" s="2">
        <f t="shared" si="17"/>
        <v>0.11437794326585224</v>
      </c>
      <c r="V68" s="2">
        <f t="shared" si="18"/>
        <v>0.11043877033537902</v>
      </c>
      <c r="W68" s="2">
        <f t="shared" si="19"/>
        <v>0.10705744606724045</v>
      </c>
      <c r="X68" s="2">
        <f t="shared" si="20"/>
        <v>0.11728533803050227</v>
      </c>
      <c r="Y68" s="2">
        <f t="shared" si="21"/>
        <v>0.10928020503416074</v>
      </c>
      <c r="Z68" s="2">
        <f t="shared" si="22"/>
        <v>0.10579568013572224</v>
      </c>
      <c r="AA68" s="2">
        <f t="shared" si="23"/>
        <v>0.11798772791544039</v>
      </c>
      <c r="AB68" s="2">
        <f t="shared" si="24"/>
        <v>0.10026757173055721</v>
      </c>
      <c r="AC68" s="2">
        <f t="shared" si="25"/>
        <v>0.1151901624778385</v>
      </c>
      <c r="AD68" s="2">
        <f t="shared" si="26"/>
        <v>0.10227444344259566</v>
      </c>
      <c r="AE68" s="2">
        <f t="shared" si="27"/>
        <v>0.10987695088187602</v>
      </c>
      <c r="AF68" s="2">
        <f t="shared" si="28"/>
        <v>0.11908712371493149</v>
      </c>
      <c r="AG68" s="2">
        <f t="shared" si="29"/>
        <v>9.9235315312320327E-2</v>
      </c>
      <c r="AH68" s="2">
        <f t="shared" si="30"/>
        <v>0.1199891551819615</v>
      </c>
      <c r="AI68" s="2">
        <f t="shared" si="31"/>
        <v>0.10099811712417744</v>
      </c>
      <c r="AJ68" s="2">
        <f>0.216487037898166*(8350/2783.333)</f>
        <v>0.64946119147428172</v>
      </c>
      <c r="AK68" s="2">
        <f>0.452361365013037*(8350/2783.333)</f>
        <v>1.3570842575641726</v>
      </c>
      <c r="AL68" s="2">
        <f>0.411314496659415*(8350/2783.333)</f>
        <v>1.2339436377559274</v>
      </c>
      <c r="AM68" s="2">
        <f>0.46202750930289*(8350/2783.333)</f>
        <v>1.3860826939065962</v>
      </c>
      <c r="AN68" s="2">
        <f>0.304654442533501*(8350/2783.333)</f>
        <v>0.91396343705720273</v>
      </c>
      <c r="AO68" s="2">
        <f>0.159835778410348*(8350/2783.333)</f>
        <v>0.47950739265708053</v>
      </c>
      <c r="AP68" s="2">
        <f>0.385645454338423*(8350/2783.333)</f>
        <v>1.1569365015705371</v>
      </c>
      <c r="AQ68" s="2">
        <f>0.132466554793035*(8350/2783.333)</f>
        <v>0.39739971197188551</v>
      </c>
      <c r="AR68" s="2">
        <f>0.144229289671599*(8350/2783.333)</f>
        <v>0.43268792083370877</v>
      </c>
      <c r="AS68" s="2">
        <f>0.261915994806917*(8350/2783.333)</f>
        <v>0.78574807852231754</v>
      </c>
      <c r="AT68" s="2">
        <f>0.179689507156209*(8350/2783.333)</f>
        <v>0.53906858602773844</v>
      </c>
      <c r="AU68" s="2">
        <f>0.240999349801117*(8350/2783.333)</f>
        <v>0.72299813598995266</v>
      </c>
      <c r="AV68" s="2">
        <f>0.13073182630767*(8350/2783.333)</f>
        <v>0.39219552589253404</v>
      </c>
      <c r="AW68" s="2">
        <f>0.105073095751441*(8350/2783.333)</f>
        <v>0.31521932500514127</v>
      </c>
    </row>
    <row r="69" spans="1:49" x14ac:dyDescent="0.25">
      <c r="A69" s="5">
        <v>45691</v>
      </c>
      <c r="B69" s="2">
        <f>0.261497548234299*(8350/2783.333)</f>
        <v>0.78449273865412417</v>
      </c>
      <c r="C69" s="2">
        <f>0.260472902121573*(8350/2783.333)</f>
        <v>0.78141879994781005</v>
      </c>
      <c r="D69" s="2">
        <f>0.180740188654287*(8350/2783.333)</f>
        <v>0.54222063089946226</v>
      </c>
      <c r="E69" s="2">
        <f>0.213111809215381*(8350/2783.333)</f>
        <v>0.63933550421327012</v>
      </c>
      <c r="F69" s="2">
        <f>0.17497830954279*(8350/2783.333)</f>
        <v>0.52493499149483547</v>
      </c>
      <c r="G69" s="2">
        <f>0.220317476919285*(8350/2783.333)</f>
        <v>0.66095250991384324</v>
      </c>
      <c r="H69" s="2">
        <f>0.222991451534586*(8350/2783.333)</f>
        <v>0.66897443472045803</v>
      </c>
      <c r="I69" s="2">
        <f>0.530293369780051*(8350/2783.333)</f>
        <v>1.5908802998647396</v>
      </c>
      <c r="J69" s="2">
        <f>0.228160611873771*(8350/2783.333)</f>
        <v>0.68448191759519617</v>
      </c>
      <c r="K69" s="2">
        <f>0.240415043899997*(8350/2783.333)</f>
        <v>0.72124521807666531</v>
      </c>
      <c r="L69" s="2">
        <f>0.220924579036863*(8350/2783.333)</f>
        <v>0.6627738164846978</v>
      </c>
      <c r="M69" s="2">
        <f>0.243625617104168*(8350/2783.333)</f>
        <v>0.73087693884267635</v>
      </c>
      <c r="N69" s="2">
        <f>0.257279533479346*(8350/2783.333)</f>
        <v>0.77183869287381013</v>
      </c>
      <c r="O69" s="2">
        <f>0.226102282085932*(8350/2783.333)</f>
        <v>0.67830692749215737</v>
      </c>
      <c r="P69" s="2">
        <f>0.353906790022399*(8350/2783.333)</f>
        <v>1.061720497219353</v>
      </c>
      <c r="Q69" s="2">
        <f>0.291486029625092*(8350/2783.333)</f>
        <v>0.87445819360080701</v>
      </c>
      <c r="R69" s="2">
        <f>0.442897411898193*(8350/2783.333)</f>
        <v>1.3286923948194176</v>
      </c>
      <c r="S69" s="2">
        <f>0.138057153186659*(8350/2783.333)</f>
        <v>0.4141715091613562</v>
      </c>
      <c r="T69" s="2">
        <f t="shared" si="16"/>
        <v>0.10069243236843764</v>
      </c>
      <c r="U69" s="2">
        <f t="shared" si="17"/>
        <v>0.11437794326585224</v>
      </c>
      <c r="V69" s="2">
        <f t="shared" si="18"/>
        <v>0.11043877033537902</v>
      </c>
      <c r="W69" s="2">
        <f t="shared" si="19"/>
        <v>0.10705744606724045</v>
      </c>
      <c r="X69" s="2">
        <f t="shared" si="20"/>
        <v>0.11728533803050227</v>
      </c>
      <c r="Y69" s="2">
        <f t="shared" si="21"/>
        <v>0.10928020503416074</v>
      </c>
      <c r="Z69" s="2">
        <f t="shared" si="22"/>
        <v>0.10579568013572224</v>
      </c>
      <c r="AA69" s="2">
        <f t="shared" si="23"/>
        <v>0.11798772791544039</v>
      </c>
      <c r="AB69" s="2">
        <f t="shared" si="24"/>
        <v>0.10026757173055721</v>
      </c>
      <c r="AC69" s="2">
        <f t="shared" si="25"/>
        <v>0.1151901624778385</v>
      </c>
      <c r="AD69" s="2">
        <f t="shared" si="26"/>
        <v>0.10227444344259566</v>
      </c>
      <c r="AE69" s="2">
        <f t="shared" si="27"/>
        <v>0.10987695088187602</v>
      </c>
      <c r="AF69" s="2">
        <f t="shared" si="28"/>
        <v>0.11908712371493149</v>
      </c>
      <c r="AG69" s="2">
        <f t="shared" si="29"/>
        <v>9.9235315312320327E-2</v>
      </c>
      <c r="AH69" s="2">
        <f t="shared" si="30"/>
        <v>0.1199891551819615</v>
      </c>
      <c r="AI69" s="2">
        <f t="shared" si="31"/>
        <v>0.10099811712417744</v>
      </c>
      <c r="AJ69" s="2">
        <f>0.152662778125668*(8350/2783.333)</f>
        <v>0.4579883892259114</v>
      </c>
      <c r="AK69" s="2">
        <f>0.466750593323591*(8350/2783.333)</f>
        <v>1.4002519476656177</v>
      </c>
      <c r="AL69" s="2">
        <f>0.457878401941613*(8350/2783.333)</f>
        <v>1.3736353703320701</v>
      </c>
      <c r="AM69" s="2">
        <f>0.52052455447214*(8350/2783.333)</f>
        <v>1.5615738504312513</v>
      </c>
      <c r="AN69" s="2">
        <f>0.444714741802216*(8350/2783.333)</f>
        <v>1.3341443851844177</v>
      </c>
      <c r="AO69" s="2">
        <f>0.208637178541239*(8350/2783.333)</f>
        <v>0.62591161058319245</v>
      </c>
      <c r="AP69" s="2">
        <f>0.204567005584269*(8350/2783.333)</f>
        <v>0.61370109024994357</v>
      </c>
      <c r="AQ69" s="2">
        <f>0.135515657077274*(8350/2783.333)</f>
        <v>0.40654701992008752</v>
      </c>
      <c r="AR69" s="2">
        <f>0.136552305963144*(8350/2783.333)</f>
        <v>0.40965696695014781</v>
      </c>
      <c r="AS69" s="2">
        <f>0.227990718622596*(8350/2783.333)</f>
        <v>0.68397223778063021</v>
      </c>
      <c r="AT69" s="2">
        <f>0.183296413321753*(8350/2783.333)</f>
        <v>0.54988930582026596</v>
      </c>
      <c r="AU69" s="2">
        <f>0.214129497999478*(8350/2783.333)</f>
        <v>0.64238857093119661</v>
      </c>
      <c r="AV69" s="2">
        <f>0.133365050297279*(8350/2783.333)</f>
        <v>0.40009519880743116</v>
      </c>
      <c r="AW69" s="2">
        <f>0.0934155777316808*(8350/2783.333)</f>
        <v>0.28024676675752935</v>
      </c>
    </row>
    <row r="70" spans="1:49" x14ac:dyDescent="0.25">
      <c r="A70" s="5">
        <v>45692</v>
      </c>
      <c r="B70" s="2">
        <f>0.220872036276471*(8350/2783.333)</f>
        <v>0.66261618818464385</v>
      </c>
      <c r="C70" s="2">
        <f>0.22779364502883*(8350/2783.333)</f>
        <v>0.68338101692852726</v>
      </c>
      <c r="D70" s="2">
        <f>0.177610488417849*(8350/2783.333)</f>
        <v>0.5328315290657053</v>
      </c>
      <c r="E70" s="2">
        <f>0.18948419558498*(8350/2783.333)</f>
        <v>0.56845265483310348</v>
      </c>
      <c r="F70" s="2">
        <f>0.174197156375188*(8350/2783.333)</f>
        <v>0.52259153171137651</v>
      </c>
      <c r="G70" s="2">
        <f>0.226476890252512*(8350/2783.333)</f>
        <v>0.67943075212648796</v>
      </c>
      <c r="H70" s="2">
        <f>0.22155895826991*(8350/2783.333)</f>
        <v>0.66467695441176133</v>
      </c>
      <c r="I70" s="2">
        <f>0.222741854793378*(8350/2783.333)</f>
        <v>0.66822564440715726</v>
      </c>
      <c r="J70" s="2">
        <f>0.183003824107087*(8350/2783.333)</f>
        <v>0.54901153807114667</v>
      </c>
      <c r="K70" s="2">
        <f>0.244605284316555*(8350/2783.333)</f>
        <v>0.7338159408318139</v>
      </c>
      <c r="L70" s="2">
        <f>0.307879827659658*(8350/2783.333)</f>
        <v>0.9236395935944941</v>
      </c>
      <c r="M70" s="2">
        <f>0.294289172198163*(8350/2783.333)</f>
        <v>0.88286762232713833</v>
      </c>
      <c r="N70" s="2">
        <f>0.559474636356312*(8350/2783.333)</f>
        <v>1.6784241100778101</v>
      </c>
      <c r="O70" s="2">
        <f>0.311360119350892*(8350/2783.333)</f>
        <v>0.93408046991860183</v>
      </c>
      <c r="P70" s="2">
        <f>0.354768925929884*(8350/2783.333)</f>
        <v>1.0643069052515559</v>
      </c>
      <c r="Q70" s="2">
        <f>0.878703031054281*(8350/2783.333)</f>
        <v>2.6361094088645682</v>
      </c>
      <c r="R70" s="2">
        <f>0.333475698370404*(8350/2783.333)</f>
        <v>1.0004272149228557</v>
      </c>
      <c r="S70" s="2">
        <f>0.20215511716618*(8350/2783.333)</f>
        <v>0.60646542412912852</v>
      </c>
      <c r="T70" s="2">
        <f t="shared" si="16"/>
        <v>0.10069243236843764</v>
      </c>
      <c r="U70" s="2">
        <f t="shared" si="17"/>
        <v>0.11437794326585224</v>
      </c>
      <c r="V70" s="2">
        <f t="shared" si="18"/>
        <v>0.11043877033537902</v>
      </c>
      <c r="W70" s="2">
        <f t="shared" si="19"/>
        <v>0.10705744606724045</v>
      </c>
      <c r="X70" s="2">
        <f t="shared" si="20"/>
        <v>0.11728533803050227</v>
      </c>
      <c r="Y70" s="2">
        <f t="shared" si="21"/>
        <v>0.10928020503416074</v>
      </c>
      <c r="Z70" s="2">
        <f t="shared" si="22"/>
        <v>0.10579568013572224</v>
      </c>
      <c r="AA70" s="2">
        <f t="shared" si="23"/>
        <v>0.11798772791544039</v>
      </c>
      <c r="AB70" s="2">
        <f t="shared" si="24"/>
        <v>0.10026757173055721</v>
      </c>
      <c r="AC70" s="2">
        <f t="shared" si="25"/>
        <v>0.1151901624778385</v>
      </c>
      <c r="AD70" s="2">
        <f t="shared" si="26"/>
        <v>0.10227444344259566</v>
      </c>
      <c r="AE70" s="2">
        <f t="shared" si="27"/>
        <v>0.10987695088187602</v>
      </c>
      <c r="AF70" s="2">
        <f t="shared" si="28"/>
        <v>0.11908712371493149</v>
      </c>
      <c r="AG70" s="2">
        <f t="shared" si="29"/>
        <v>9.9235315312320327E-2</v>
      </c>
      <c r="AH70" s="2">
        <f t="shared" si="30"/>
        <v>0.1199891551819615</v>
      </c>
      <c r="AI70" s="2">
        <f t="shared" si="31"/>
        <v>0.10099811712417744</v>
      </c>
      <c r="AJ70" s="2">
        <f>0.147659926409533*(8350/2783.333)</f>
        <v>0.44297983228007715</v>
      </c>
      <c r="AK70" s="2">
        <f>0.269798030822885*(8350/2783.333)</f>
        <v>0.80939418940209151</v>
      </c>
      <c r="AL70" s="2">
        <f>0.36561288591948*(8350/2783.333)</f>
        <v>1.09683878911638</v>
      </c>
      <c r="AM70" s="2">
        <f>0.478221606553134*(8350/2783.333)</f>
        <v>1.4346649914755687</v>
      </c>
      <c r="AN70" s="2">
        <f>0.905578342943618*(8350/2783.333)</f>
        <v>2.7167353541883812</v>
      </c>
      <c r="AO70" s="2">
        <f>0.162671333769636*(8350/2783.333)</f>
        <v>0.48801405975370499</v>
      </c>
      <c r="AP70" s="2">
        <f>0.188241625659792*(8350/2783.333)</f>
        <v>0.56472494461110467</v>
      </c>
      <c r="AQ70" s="2">
        <f>0.1814215859122*(8350/2783.333)</f>
        <v>0.54426482291801714</v>
      </c>
      <c r="AR70" s="2">
        <f>0.170037022138317*(8350/2783.333)</f>
        <v>0.51011112750610488</v>
      </c>
      <c r="AS70" s="2">
        <f>0.12701880656689*(8350/2783.333)</f>
        <v>0.38105646533617632</v>
      </c>
      <c r="AT70" s="2">
        <f>0.123290610749516*(8350/2783.333)</f>
        <v>0.36987187654457959</v>
      </c>
      <c r="AU70" s="2">
        <f>0.122407102651909*(8350/2783.333)</f>
        <v>0.36722135193433231</v>
      </c>
      <c r="AV70" s="2">
        <f>0.132745468182077*(8350/2783.333)</f>
        <v>0.39823645223921988</v>
      </c>
      <c r="AW70" s="2">
        <f>0.111756739416104*(8350/2783.333)</f>
        <v>0.33527025840043845</v>
      </c>
    </row>
    <row r="71" spans="1:49" x14ac:dyDescent="0.25">
      <c r="A71" s="5">
        <v>45693</v>
      </c>
      <c r="B71" s="2">
        <f>0.231612114150379*(8350/2783.333)</f>
        <v>0.69483642566508075</v>
      </c>
      <c r="C71" s="2">
        <f>0.234521727371453*(8350/2783.333)</f>
        <v>0.70356526637367378</v>
      </c>
      <c r="D71" s="2">
        <f>0.18347867636117*(8350/2783.333)</f>
        <v>0.55043609500399959</v>
      </c>
      <c r="E71" s="2">
        <f>0.213575095757154*(8350/2783.333)</f>
        <v>0.64072536400503766</v>
      </c>
      <c r="F71" s="2">
        <f>0.182008688051206*(8350/2783.333)</f>
        <v>0.54602612954596741</v>
      </c>
      <c r="G71" s="2">
        <f>0.216053267688589*(8350/2783.333)</f>
        <v>0.6481598806897042</v>
      </c>
      <c r="H71" s="2">
        <f>0.205801532358473*(8350/2783.333)</f>
        <v>0.61740467101609697</v>
      </c>
      <c r="I71" s="2">
        <f>0.197578549021741*(8350/2783.333)</f>
        <v>0.5927357180515378</v>
      </c>
      <c r="J71" s="2">
        <f>0.194887189308846*(8350/2783.333)</f>
        <v>0.58466163794589643</v>
      </c>
      <c r="K71" s="2">
        <f>0.249843084837252*(8350/2783.333)</f>
        <v>0.74952934427574958</v>
      </c>
      <c r="L71" s="2">
        <f>0.292069782455514*(8350/2783.333)</f>
        <v>0.87620945230180458</v>
      </c>
      <c r="M71" s="2">
        <f>0.608843766433924*(8350/2783.333)</f>
        <v>1.8265315180480619</v>
      </c>
      <c r="N71" s="2">
        <f>0.393602226563349*(8350/2783.333)</f>
        <v>1.180806821104037</v>
      </c>
      <c r="O71" s="2">
        <f>0.738024890861886*(8350/2783.333)</f>
        <v>2.2140749377443334</v>
      </c>
      <c r="P71" s="2">
        <f>0.712986395489705*(8350/2783.333)</f>
        <v>2.1389594426319238</v>
      </c>
      <c r="Q71" s="2">
        <f>0.732960016241735*(8350/2783.333)</f>
        <v>2.1988803120641642</v>
      </c>
      <c r="R71" s="2">
        <f>0.399352036106522*(8350/2783.333)</f>
        <v>1.1980562517993572</v>
      </c>
      <c r="S71" s="2">
        <f>0.150691848009545*(8350/2783.333)</f>
        <v>0.45207559816942644</v>
      </c>
      <c r="T71" s="2">
        <f t="shared" si="16"/>
        <v>0.10069243236843764</v>
      </c>
      <c r="U71" s="2">
        <f t="shared" si="17"/>
        <v>0.11437794326585224</v>
      </c>
      <c r="V71" s="2">
        <f t="shared" si="18"/>
        <v>0.11043877033537902</v>
      </c>
      <c r="W71" s="2">
        <f t="shared" si="19"/>
        <v>0.10705744606724045</v>
      </c>
      <c r="X71" s="2">
        <f t="shared" si="20"/>
        <v>0.11728533803050227</v>
      </c>
      <c r="Y71" s="2">
        <f t="shared" si="21"/>
        <v>0.10928020503416074</v>
      </c>
      <c r="Z71" s="2">
        <f t="shared" si="22"/>
        <v>0.10579568013572224</v>
      </c>
      <c r="AA71" s="2">
        <f t="shared" si="23"/>
        <v>0.11798772791544039</v>
      </c>
      <c r="AB71" s="2">
        <f t="shared" si="24"/>
        <v>0.10026757173055721</v>
      </c>
      <c r="AC71" s="2">
        <f t="shared" si="25"/>
        <v>0.1151901624778385</v>
      </c>
      <c r="AD71" s="2">
        <f t="shared" si="26"/>
        <v>0.10227444344259566</v>
      </c>
      <c r="AE71" s="2">
        <f t="shared" si="27"/>
        <v>0.10987695088187602</v>
      </c>
      <c r="AF71" s="2">
        <f t="shared" si="28"/>
        <v>0.11908712371493149</v>
      </c>
      <c r="AG71" s="2">
        <f t="shared" si="29"/>
        <v>9.9235315312320327E-2</v>
      </c>
      <c r="AH71" s="2">
        <f t="shared" si="30"/>
        <v>0.1199891551819615</v>
      </c>
      <c r="AI71" s="2">
        <f t="shared" si="31"/>
        <v>0.10099811712417744</v>
      </c>
      <c r="AJ71" s="2">
        <f>0.161304067453535*(8350/2783.333)</f>
        <v>0.48391226031417028</v>
      </c>
      <c r="AK71" s="2">
        <f>0.339345967657229*(8350/2783.333)</f>
        <v>1.0180380248924077</v>
      </c>
      <c r="AL71" s="2">
        <f>0.313875213383705*(8350/2783.333)</f>
        <v>0.94162575292066553</v>
      </c>
      <c r="AM71" s="2">
        <f>0.481196032578689*(8350/2783.333)</f>
        <v>1.4435882706208898</v>
      </c>
      <c r="AN71" s="2">
        <f>0.290058358130775*(8350/2783.333)</f>
        <v>0.87017517860492033</v>
      </c>
      <c r="AO71" s="2">
        <f>0.173864315451033*(8350/2783.333)</f>
        <v>0.52159300881932669</v>
      </c>
      <c r="AP71" s="2">
        <f>0.188408211169225*(8350/2783.333)</f>
        <v>0.56522470119925594</v>
      </c>
      <c r="AQ71" s="2">
        <f>0.178541878199308*(8350/2783.333)</f>
        <v>0.53562569874471522</v>
      </c>
      <c r="AR71" s="2">
        <f>0.375518841398647*(8350/2783.333)</f>
        <v>1.126556659112907</v>
      </c>
      <c r="AS71" s="2">
        <f>0.296162837590142*(8350/2783.333)</f>
        <v>0.88848861917624833</v>
      </c>
      <c r="AT71" s="2">
        <f>0.197396137423426*(8350/2783.333)</f>
        <v>0.59218848319105533</v>
      </c>
      <c r="AU71" s="2">
        <f>0.223086115266691*(8350/2783.333)</f>
        <v>0.66925842595078211</v>
      </c>
      <c r="AV71" s="2">
        <f>0.131816095009274*(8350/2783.333)</f>
        <v>0.39544833238690369</v>
      </c>
      <c r="AW71" s="2">
        <f>0.0976122842187945*(8350/2783.333)</f>
        <v>0.2928368877266696</v>
      </c>
    </row>
    <row r="72" spans="1:49" x14ac:dyDescent="0.25">
      <c r="A72" s="5">
        <v>45694</v>
      </c>
      <c r="B72" s="2">
        <f>0.304924819637495*(8350/2783.333)</f>
        <v>0.9147745684663261</v>
      </c>
      <c r="C72" s="2">
        <f>0.294113313834692*(8350/2783.333)</f>
        <v>0.88234004717354142</v>
      </c>
      <c r="D72" s="2">
        <f>0.1901292893636*(8350/2783.333)</f>
        <v>0.57038793640073338</v>
      </c>
      <c r="E72" s="2">
        <f>0.300672965610397*(8350/2783.333)</f>
        <v>0.90201900485741782</v>
      </c>
      <c r="F72" s="2">
        <f>0.380812169205848*(8350/2783.333)</f>
        <v>1.1424366444363052</v>
      </c>
      <c r="G72" s="2">
        <f>0.411733091274964*(8350/2783.333)</f>
        <v>1.2351994217529672</v>
      </c>
      <c r="H72" s="2">
        <f>0.429747979402843*(8350/2783.333)</f>
        <v>1.2892440926090194</v>
      </c>
      <c r="I72" s="2">
        <f>0.63607245144971*(8350/2783.333)</f>
        <v>1.9082175828781807</v>
      </c>
      <c r="J72" s="2">
        <f>0.265791268346008*(8350/2783.333)</f>
        <v>0.79737390053190338</v>
      </c>
      <c r="K72" s="2">
        <f>0.27236562707625*(8350/2783.333)</f>
        <v>0.8170969790846746</v>
      </c>
      <c r="L72" s="2">
        <f>0.225501171069641*(8350/2783.333)</f>
        <v>0.67650359422731898</v>
      </c>
      <c r="M72" s="2">
        <f>0.321603436683621*(8350/2783.333)</f>
        <v>0.96481042559702224</v>
      </c>
      <c r="N72" s="2">
        <f>0.310469023555474*(8350/2783.333)</f>
        <v>0.93140718221219321</v>
      </c>
      <c r="O72" s="2">
        <f>0.600936297902808*(8350/2783.333)</f>
        <v>1.8028091096137069</v>
      </c>
      <c r="P72" s="2">
        <f>0.573320378477212*(8350/2783.333)</f>
        <v>1.7199613414150294</v>
      </c>
      <c r="Q72" s="2">
        <f>0.758901329557884*(8350/2783.333)</f>
        <v>2.2767042613328452</v>
      </c>
      <c r="R72" s="2">
        <f>0.758880523412115*(8350/2783.333)</f>
        <v>2.2766418428880617</v>
      </c>
      <c r="S72" s="2">
        <f>0.187825524257296*(8350/2783.333)</f>
        <v>0.56347664025412125</v>
      </c>
      <c r="T72" s="2">
        <f t="shared" si="16"/>
        <v>0.10069243236843764</v>
      </c>
      <c r="U72" s="2">
        <f t="shared" si="17"/>
        <v>0.11437794326585224</v>
      </c>
      <c r="V72" s="2">
        <f t="shared" si="18"/>
        <v>0.11043877033537902</v>
      </c>
      <c r="W72" s="2">
        <f t="shared" si="19"/>
        <v>0.10705744606724045</v>
      </c>
      <c r="X72" s="2">
        <f t="shared" si="20"/>
        <v>0.11728533803050227</v>
      </c>
      <c r="Y72" s="2">
        <f t="shared" si="21"/>
        <v>0.10928020503416074</v>
      </c>
      <c r="Z72" s="2">
        <f t="shared" si="22"/>
        <v>0.10579568013572224</v>
      </c>
      <c r="AA72" s="2">
        <f t="shared" si="23"/>
        <v>0.11798772791544039</v>
      </c>
      <c r="AB72" s="2">
        <f t="shared" si="24"/>
        <v>0.10026757173055721</v>
      </c>
      <c r="AC72" s="2">
        <f t="shared" si="25"/>
        <v>0.1151901624778385</v>
      </c>
      <c r="AD72" s="2">
        <f t="shared" si="26"/>
        <v>0.10227444344259566</v>
      </c>
      <c r="AE72" s="2">
        <f t="shared" si="27"/>
        <v>0.10987695088187602</v>
      </c>
      <c r="AF72" s="2">
        <f t="shared" si="28"/>
        <v>0.11908712371493149</v>
      </c>
      <c r="AG72" s="2">
        <f t="shared" si="29"/>
        <v>9.9235315312320327E-2</v>
      </c>
      <c r="AH72" s="2">
        <f t="shared" si="30"/>
        <v>0.1199891551819615</v>
      </c>
      <c r="AI72" s="2">
        <f t="shared" si="31"/>
        <v>0.10099811712417744</v>
      </c>
      <c r="AJ72" s="2">
        <f>0.0886869167860134*(8350/2783.333)</f>
        <v>0.26606078222160695</v>
      </c>
      <c r="AK72" s="2">
        <f>0.399600861207673*(8350/2783.333)</f>
        <v>1.1988027271922084</v>
      </c>
      <c r="AL72" s="2">
        <f>0.243167060918145*(8350/2783.333)</f>
        <v>0.72950127011985655</v>
      </c>
      <c r="AM72" s="2">
        <f>0.266706866958106*(8350/2783.333)</f>
        <v>0.80012069669715569</v>
      </c>
      <c r="AN72" s="2">
        <f>0.306207217469961*(8350/2783.333)</f>
        <v>0.91862176242446647</v>
      </c>
      <c r="AO72" s="2">
        <f>0.234903375553584*(8350/2783.333)</f>
        <v>0.70471021105718479</v>
      </c>
      <c r="AP72" s="2">
        <f>0.223391168150248*(8350/2783.333)</f>
        <v>0.67017358471105382</v>
      </c>
      <c r="AQ72" s="2">
        <f>0.239523923884082*(8350/2783.333)</f>
        <v>0.71857185770875498</v>
      </c>
      <c r="AR72" s="2">
        <f>0.146516050776245*(8350/2783.333)</f>
        <v>0.43954820496923763</v>
      </c>
      <c r="AS72" s="2">
        <f>0.129269772759215*(8350/2783.333)</f>
        <v>0.38780936472188066</v>
      </c>
      <c r="AT72" s="2">
        <f>0.126733566634808*(8350/2783.333)</f>
        <v>0.38020074543744681</v>
      </c>
      <c r="AU72" s="2">
        <f>0.134680985573645*(8350/2783.333)</f>
        <v>0.4040430051093194</v>
      </c>
      <c r="AV72" s="2">
        <f>0.0971194965579492*(8350/2783.333)</f>
        <v>0.29135852456708417</v>
      </c>
      <c r="AW72" s="2">
        <f>0.0655929680578524*(8350/2783.333)</f>
        <v>0.19677892773989583</v>
      </c>
    </row>
    <row r="73" spans="1:49" x14ac:dyDescent="0.25">
      <c r="A73" s="5">
        <v>45695</v>
      </c>
      <c r="B73" s="2">
        <f>0.210598918310123*(8350/2783.333)</f>
        <v>0.63179683059466041</v>
      </c>
      <c r="C73" s="2">
        <f>0.219143253445456*(8350/2783.333)</f>
        <v>0.65742983907048191</v>
      </c>
      <c r="D73" s="2">
        <f>0.170177450356309*(8350/2783.333)</f>
        <v>0.51053241221053292</v>
      </c>
      <c r="E73" s="2">
        <f>0.196896780253342*(8350/2783.333)</f>
        <v>0.59069041150139112</v>
      </c>
      <c r="F73" s="2">
        <f>0.168338507618175*(8350/2783.333)</f>
        <v>0.50501558333543317</v>
      </c>
      <c r="G73" s="2">
        <f>0.196627425637641*(8350/2783.333)</f>
        <v>0.58988234755751612</v>
      </c>
      <c r="H73" s="2">
        <f>0.210099012152501*(8350/2783.333)</f>
        <v>0.63029711194218729</v>
      </c>
      <c r="I73" s="2">
        <f>0.196180587589984*(8350/2783.333)</f>
        <v>0.588541833254003</v>
      </c>
      <c r="J73" s="2">
        <f>0.166367112824625*(8350/2783.333)</f>
        <v>0.49910139824649691</v>
      </c>
      <c r="K73" s="2">
        <f>0.227320542598255*(8350/2783.333)</f>
        <v>0.68196170946682544</v>
      </c>
      <c r="L73" s="2">
        <f>0.244223593021918*(8350/2783.333)</f>
        <v>0.73267086681076798</v>
      </c>
      <c r="M73" s="2">
        <f>0.242744511798186*(8350/2783.333)</f>
        <v>0.72823362260816404</v>
      </c>
      <c r="N73" s="2">
        <f>0.186360213377842*(8350/2783.333)</f>
        <v>0.55908070708929869</v>
      </c>
      <c r="O73" s="2">
        <f>0.163003970806137*(8350/2783.333)</f>
        <v>0.4890119709827177</v>
      </c>
      <c r="P73" s="2">
        <f>0.448741739845697*(8350/2783.333)</f>
        <v>1.3462253807616884</v>
      </c>
      <c r="Q73" s="2">
        <f>0.631553064187698*(8350/2783.333)</f>
        <v>1.8946594194684145</v>
      </c>
      <c r="R73" s="2">
        <f>0.374787977967631*(8350/2783.333)</f>
        <v>1.1243640685572724</v>
      </c>
      <c r="S73" s="2">
        <f>0.224496955572503*(8350/2783.333)</f>
        <v>0.67349094737510684</v>
      </c>
      <c r="T73" s="2">
        <f t="shared" si="16"/>
        <v>0.10069243236843764</v>
      </c>
      <c r="U73" s="2">
        <f t="shared" si="17"/>
        <v>0.11437794326585224</v>
      </c>
      <c r="V73" s="2">
        <f t="shared" si="18"/>
        <v>0.11043877033537902</v>
      </c>
      <c r="W73" s="2">
        <f t="shared" si="19"/>
        <v>0.10705744606724045</v>
      </c>
      <c r="X73" s="2">
        <f t="shared" si="20"/>
        <v>0.11728533803050227</v>
      </c>
      <c r="Y73" s="2">
        <f t="shared" si="21"/>
        <v>0.10928020503416074</v>
      </c>
      <c r="Z73" s="2">
        <f t="shared" si="22"/>
        <v>0.10579568013572224</v>
      </c>
      <c r="AA73" s="2">
        <f t="shared" si="23"/>
        <v>0.11798772791544039</v>
      </c>
      <c r="AB73" s="2">
        <f t="shared" si="24"/>
        <v>0.10026757173055721</v>
      </c>
      <c r="AC73" s="2">
        <f t="shared" si="25"/>
        <v>0.1151901624778385</v>
      </c>
      <c r="AD73" s="2">
        <f t="shared" si="26"/>
        <v>0.10227444344259566</v>
      </c>
      <c r="AE73" s="2">
        <f t="shared" si="27"/>
        <v>0.10987695088187602</v>
      </c>
      <c r="AF73" s="2">
        <f t="shared" si="28"/>
        <v>0.11908712371493149</v>
      </c>
      <c r="AG73" s="2">
        <f t="shared" si="29"/>
        <v>9.9235315312320327E-2</v>
      </c>
      <c r="AH73" s="2">
        <f t="shared" si="30"/>
        <v>0.1199891551819615</v>
      </c>
      <c r="AI73" s="2">
        <f t="shared" si="31"/>
        <v>0.10099811712417744</v>
      </c>
      <c r="AJ73" s="2">
        <f>0.15190477028989*(8350/2783.333)</f>
        <v>0.45571436544623956</v>
      </c>
      <c r="AK73" s="2">
        <f>0.337847089708213*(8350/2783.333)</f>
        <v>1.0135413905068402</v>
      </c>
      <c r="AL73" s="2">
        <f>0.314162644897792*(8350/2783.333)</f>
        <v>0.9424880475661972</v>
      </c>
      <c r="AM73" s="2">
        <f>0.743276014608154*(8350/2783.333)</f>
        <v>2.2298283108697681</v>
      </c>
      <c r="AN73" s="2">
        <f>0.494714094756236*(8350/2783.333)</f>
        <v>1.4841424620103192</v>
      </c>
      <c r="AO73" s="2">
        <f>0.214606768771318*(8350/2783.333)</f>
        <v>0.6438203834181907</v>
      </c>
      <c r="AP73" s="2">
        <f>0.144596222188229*(8350/2783.333)</f>
        <v>0.4337887185154326</v>
      </c>
      <c r="AQ73" s="2">
        <f>0.192601627621075*(8350/2783.333)</f>
        <v>0.57780495206142435</v>
      </c>
      <c r="AR73" s="2">
        <f>0.264447587744415*(8350/2783.333)</f>
        <v>0.79334285824436512</v>
      </c>
      <c r="AS73" s="2">
        <f>0.158693116558887*(8350/2783.333)</f>
        <v>0.47607940669215942</v>
      </c>
      <c r="AT73" s="2">
        <f>0.206413402837287*(8350/2783.333)</f>
        <v>0.61924028267237474</v>
      </c>
      <c r="AU73" s="2">
        <f>0.120416743259195*(8350/2783.333)</f>
        <v>0.36125027304109103</v>
      </c>
      <c r="AV73" s="2">
        <f>0.0949509591547414*(8350/2783.333)</f>
        <v>0.28485291157834541</v>
      </c>
      <c r="AW73" s="2">
        <f>0.0663701359258364*(8350/2783.333)</f>
        <v>0.19911043162306988</v>
      </c>
    </row>
    <row r="74" spans="1:49" x14ac:dyDescent="0.25">
      <c r="A74" s="5">
        <v>45696</v>
      </c>
      <c r="B74" s="2">
        <f>0.227409474982328*(8350/2783.333)</f>
        <v>0.6822285066509971</v>
      </c>
      <c r="C74" s="2">
        <f>0.245575005505764*(8350/2783.333)</f>
        <v>0.73672510474784259</v>
      </c>
      <c r="D74" s="2">
        <f>0.186999589127162*(8350/2783.333)</f>
        <v>0.56099883456697641</v>
      </c>
      <c r="E74" s="2">
        <f>0.22006110734197*(8350/2783.333)</f>
        <v>0.66018340108978979</v>
      </c>
      <c r="F74" s="2">
        <f>0.168729084201976*(8350/2783.333)</f>
        <v>0.50618731322716282</v>
      </c>
      <c r="G74" s="2">
        <f>0.224107885124348*(8350/2783.333)</f>
        <v>0.67232373589085548</v>
      </c>
      <c r="H74" s="2">
        <f>0.209144016642717*(8350/2783.333)</f>
        <v>0.6274321250697229</v>
      </c>
      <c r="I74" s="2">
        <f>0.215286060490671*(8350/2783.333)</f>
        <v>0.64585825882030712</v>
      </c>
      <c r="J74" s="2">
        <f>0.180627151066735*(8350/2783.333)</f>
        <v>0.54188151809619667</v>
      </c>
      <c r="K74" s="2">
        <f>0.202179100098908*(8350/2783.333)</f>
        <v>0.6065373729359318</v>
      </c>
      <c r="L74" s="2">
        <f>0.242143323916109*(8350/2783.333)</f>
        <v>0.72643005874594024</v>
      </c>
      <c r="M74" s="2">
        <f>0.246709485675107*(8350/2783.333)</f>
        <v>0.74012854566346986</v>
      </c>
      <c r="N74" s="2">
        <f>0.266341446603427*(8350/2783.333)</f>
        <v>0.79902443550183067</v>
      </c>
      <c r="O74" s="2">
        <f>0.218214993175957*(8350/2783.333)</f>
        <v>0.65464505792847727</v>
      </c>
      <c r="P74" s="2">
        <f>0.437533973048398*(8350/2783.333)</f>
        <v>1.3126020763430488</v>
      </c>
      <c r="Q74" s="2">
        <f>0.38534641780534*(8350/2783.333)</f>
        <v>1.1560393918638499</v>
      </c>
      <c r="R74" s="2">
        <f>0.291046870675956*(8350/2783.333)</f>
        <v>0.87314071659561721</v>
      </c>
      <c r="S74" s="2">
        <f>0.147302051837551*(8350/2783.333)</f>
        <v>0.44190620843555367</v>
      </c>
      <c r="T74" s="2">
        <f t="shared" si="16"/>
        <v>0.10069243236843764</v>
      </c>
      <c r="U74" s="2">
        <f t="shared" si="17"/>
        <v>0.11437794326585224</v>
      </c>
      <c r="V74" s="2">
        <f t="shared" si="18"/>
        <v>0.11043877033537902</v>
      </c>
      <c r="W74" s="2">
        <f t="shared" si="19"/>
        <v>0.10705744606724045</v>
      </c>
      <c r="X74" s="2">
        <f t="shared" si="20"/>
        <v>0.11728533803050227</v>
      </c>
      <c r="Y74" s="2">
        <f t="shared" si="21"/>
        <v>0.10928020503416074</v>
      </c>
      <c r="Z74" s="2">
        <f t="shared" si="22"/>
        <v>0.10579568013572224</v>
      </c>
      <c r="AA74" s="2">
        <f t="shared" si="23"/>
        <v>0.11798772791544039</v>
      </c>
      <c r="AB74" s="2">
        <f t="shared" si="24"/>
        <v>0.10026757173055721</v>
      </c>
      <c r="AC74" s="2">
        <f t="shared" si="25"/>
        <v>0.1151901624778385</v>
      </c>
      <c r="AD74" s="2">
        <f t="shared" si="26"/>
        <v>0.10227444344259566</v>
      </c>
      <c r="AE74" s="2">
        <f t="shared" si="27"/>
        <v>0.10987695088187602</v>
      </c>
      <c r="AF74" s="2">
        <f t="shared" si="28"/>
        <v>0.11908712371493149</v>
      </c>
      <c r="AG74" s="2">
        <f t="shared" si="29"/>
        <v>9.9235315312320327E-2</v>
      </c>
      <c r="AH74" s="2">
        <f t="shared" si="30"/>
        <v>0.1199891551819615</v>
      </c>
      <c r="AI74" s="2">
        <f t="shared" si="31"/>
        <v>0.10099811712417744</v>
      </c>
      <c r="AJ74" s="2">
        <f>0.238924069837192*(8350/2783.333)</f>
        <v>0.71677229535256848</v>
      </c>
      <c r="AK74" s="2">
        <f>0.453260691782447*(8350/2783.333)</f>
        <v>1.3597822381955131</v>
      </c>
      <c r="AL74" s="2">
        <f>0.328534220602175*(8350/2783.333)</f>
        <v>0.98560277984278477</v>
      </c>
      <c r="AM74" s="2">
        <f>0.502347506538192*(8350/2783.333)</f>
        <v>1.5070427000987319</v>
      </c>
      <c r="AN74" s="2">
        <f>0.408379808289046*(8350/2783.333)</f>
        <v>1.2251395715904394</v>
      </c>
      <c r="AO74" s="2">
        <f>0.190877647606756*(8350/2783.333)</f>
        <v>0.57263301139907241</v>
      </c>
      <c r="AP74" s="2">
        <f>0.217727260829511*(8350/2783.333)</f>
        <v>0.65318186071390549</v>
      </c>
      <c r="AQ74" s="2">
        <f>0.346242503832435*(8350/2783.333)</f>
        <v>1.038727635895824</v>
      </c>
      <c r="AR74" s="2">
        <f>0.306752668180365*(8350/2783.333)</f>
        <v>0.92025811475164798</v>
      </c>
      <c r="AS74" s="2">
        <f>0.205320273399898*(8350/2783.333)</f>
        <v>0.61596089396746456</v>
      </c>
      <c r="AT74" s="2">
        <f>0.139029837653709*(8350/2783.333)</f>
        <v>0.41708956291197258</v>
      </c>
      <c r="AU74" s="2">
        <f>0.129373360526408*(8350/2783.333)</f>
        <v>0.38812012806067619</v>
      </c>
      <c r="AV74" s="2">
        <f>0.129027975490864*(8350/2783.333)</f>
        <v>0.38708397282995372</v>
      </c>
      <c r="AW74" s="2">
        <f>0.102897025721086*(8350/2783.333)</f>
        <v>0.3086911141322537</v>
      </c>
    </row>
    <row r="75" spans="1:49" x14ac:dyDescent="0.25">
      <c r="A75" s="5">
        <v>45697</v>
      </c>
      <c r="B75" s="2">
        <f>0.256360989251125*(8350/2783.333)</f>
        <v>0.76908305985913183</v>
      </c>
      <c r="C75" s="2">
        <f>0.224429603857518*(8350/2783.333)</f>
        <v>0.67328889220595456</v>
      </c>
      <c r="D75" s="2">
        <f>0.171351087944973*(8350/2783.333)</f>
        <v>0.51405332539819149</v>
      </c>
      <c r="E75" s="2">
        <f>0.174659026248258*(8350/2783.333)</f>
        <v>0.52397714149652741</v>
      </c>
      <c r="F75" s="2">
        <f>0.17497830954279*(8350/2783.333)</f>
        <v>0.52493499149483547</v>
      </c>
      <c r="G75" s="2">
        <f>0.216053267688589*(8350/2783.333)</f>
        <v>0.6481598806897042</v>
      </c>
      <c r="H75" s="2">
        <f>0.200071559299768*(8350/2783.333)</f>
        <v>0.60021474978131029</v>
      </c>
      <c r="I75" s="2">
        <f>0.19851052330958*(8350/2783.333)</f>
        <v>0.59553164124989366</v>
      </c>
      <c r="J75" s="2">
        <f>0.172308795425504*(8350/2783.333)</f>
        <v>0.51692644818387201</v>
      </c>
      <c r="K75" s="2">
        <f>0.208988240775815*(8350/2783.333)</f>
        <v>0.62696479741304889</v>
      </c>
      <c r="L75" s="2">
        <f>0.241727270094948*(8350/2783.333)</f>
        <v>0.72518189713297476</v>
      </c>
      <c r="M75" s="2">
        <f>0.222038537107596*(8350/2783.333)</f>
        <v>0.66611569109712254</v>
      </c>
      <c r="N75" s="2">
        <f>0.18045027003605*(8350/2783.333)</f>
        <v>0.5413508749405892</v>
      </c>
      <c r="O75" s="2">
        <f>0.265538726635803*(8350/2783.333)</f>
        <v>0.79661627531055634</v>
      </c>
      <c r="P75" s="2">
        <f>0.678500959190324*(8350/2783.333)</f>
        <v>2.035503121343802</v>
      </c>
      <c r="Q75" s="2">
        <f>0.540050977218009*(8350/2783.333)</f>
        <v>1.6201531256843424</v>
      </c>
      <c r="R75" s="2">
        <f>0.416844622963006*(8350/2783.333)</f>
        <v>1.2505340186535701</v>
      </c>
      <c r="S75" s="2">
        <f>0.149921439788638*(8350/2783.333)</f>
        <v>0.44976437322990986</v>
      </c>
      <c r="T75" s="2">
        <f t="shared" si="16"/>
        <v>0.10069243236843764</v>
      </c>
      <c r="U75" s="2">
        <f t="shared" si="17"/>
        <v>0.11437794326585224</v>
      </c>
      <c r="V75" s="2">
        <f t="shared" si="18"/>
        <v>0.11043877033537902</v>
      </c>
      <c r="W75" s="2">
        <f t="shared" si="19"/>
        <v>0.10705744606724045</v>
      </c>
      <c r="X75" s="2">
        <f t="shared" si="20"/>
        <v>0.11728533803050227</v>
      </c>
      <c r="Y75" s="2">
        <f t="shared" si="21"/>
        <v>0.10928020503416074</v>
      </c>
      <c r="Z75" s="2">
        <f t="shared" si="22"/>
        <v>0.10579568013572224</v>
      </c>
      <c r="AA75" s="2">
        <f t="shared" si="23"/>
        <v>0.11798772791544039</v>
      </c>
      <c r="AB75" s="2">
        <f t="shared" si="24"/>
        <v>0.10026757173055721</v>
      </c>
      <c r="AC75" s="2">
        <f t="shared" si="25"/>
        <v>0.1151901624778385</v>
      </c>
      <c r="AD75" s="2">
        <f t="shared" si="26"/>
        <v>0.10227444344259566</v>
      </c>
      <c r="AE75" s="2">
        <f t="shared" si="27"/>
        <v>0.10987695088187602</v>
      </c>
      <c r="AF75" s="2">
        <f t="shared" si="28"/>
        <v>0.11908712371493149</v>
      </c>
      <c r="AG75" s="2">
        <f t="shared" si="29"/>
        <v>9.9235315312320327E-2</v>
      </c>
      <c r="AH75" s="2">
        <f t="shared" si="30"/>
        <v>0.1199891551819615</v>
      </c>
      <c r="AI75" s="2">
        <f t="shared" si="31"/>
        <v>0.10099811712417744</v>
      </c>
      <c r="AJ75" s="2">
        <f>0.170703364617181*(8350/2783.333)</f>
        <v>0.51211015518210179</v>
      </c>
      <c r="AK75" s="2">
        <f>0.216737751427718*(8350/2783.333)</f>
        <v>0.65021333215301291</v>
      </c>
      <c r="AL75" s="2">
        <f>0.214136477995293*(8350/2783.333)</f>
        <v>0.64240951092115006</v>
      </c>
      <c r="AM75" s="2">
        <f>0.258114080662058*(8350/2783.333)</f>
        <v>0.7743423347217826</v>
      </c>
      <c r="AN75" s="2">
        <f>0.237264010291126*(8350/2783.333)</f>
        <v>0.71179211611794369</v>
      </c>
      <c r="AO75" s="2">
        <f>0.41891599439575*(8350/2783.333)</f>
        <v>1.2567481336960091</v>
      </c>
      <c r="AP75" s="2">
        <f>0.168751121056079*(8350/2783.333)</f>
        <v>0.50625342379738802</v>
      </c>
      <c r="AQ75" s="2">
        <f>0.13568505164862*(8350/2783.333)</f>
        <v>0.40705520369498766</v>
      </c>
      <c r="AR75" s="2">
        <f>0.218549025572593*(8350/2783.333)</f>
        <v>0.6556471552383949</v>
      </c>
      <c r="AS75" s="2">
        <f>0.142775569913163*(8350/2783.333)</f>
        <v>0.42832676103610712</v>
      </c>
      <c r="AT75" s="2">
        <f>0.178213954633941*(8350/2783.333)</f>
        <v>0.53464192793079524</v>
      </c>
      <c r="AU75" s="2">
        <f>0.0913906687821164*(8350/2783.333)</f>
        <v>0.27417203918132399</v>
      </c>
      <c r="AV75" s="2">
        <f>0.0893747201179214*(8350/2783.333)</f>
        <v>0.2681241924644458</v>
      </c>
      <c r="AW75" s="2">
        <f>0.0627951637331099*(8350/2783.333)</f>
        <v>0.188385513760469</v>
      </c>
    </row>
    <row r="76" spans="1:49" x14ac:dyDescent="0.25">
      <c r="A76" s="5">
        <v>45698</v>
      </c>
      <c r="B76" s="2">
        <f>0.196123161175724*(8350/2783.333)</f>
        <v>0.58836955399059254</v>
      </c>
      <c r="C76" s="2">
        <f>0.210973439172271*(8350/2783.333)</f>
        <v>0.63292039331566163</v>
      </c>
      <c r="D76" s="2">
        <f>0.171742300474528*(8350/2783.333)</f>
        <v>0.51522696312741134</v>
      </c>
      <c r="E76" s="2">
        <f>0.200603072587522*(8350/2783.333)</f>
        <v>0.60180928983553461</v>
      </c>
      <c r="F76" s="2">
        <f>0.161308129109759*(8350/2783.333)</f>
        <v>0.48392444528430129</v>
      </c>
      <c r="G76" s="2">
        <f>0.203260639996501*(8350/2783.333)</f>
        <v>0.60978199301728742</v>
      </c>
      <c r="H76" s="2">
        <f>0.205801532358473*(8350/2783.333)</f>
        <v>0.61740467101609697</v>
      </c>
      <c r="I76" s="2">
        <f>0.213888099058913*(8350/2783.333)</f>
        <v>0.64166437402277265</v>
      </c>
      <c r="J76" s="2">
        <f>0.173101019772288*(8350/2783.333)</f>
        <v>0.51930312150885516</v>
      </c>
      <c r="K76" s="2">
        <f>0.229415662806533*(8350/2783.333)</f>
        <v>0.68824707084439907</v>
      </c>
      <c r="L76" s="2">
        <f>0.232158032208229*(8350/2783.333)</f>
        <v>0.69647418003476791</v>
      </c>
      <c r="M76" s="2">
        <f>0.311911278317814*(8350/2783.333)</f>
        <v>0.93573394701738666</v>
      </c>
      <c r="N76" s="2">
        <f>0.503921168943467*(8350/2783.333)</f>
        <v>1.5117636878799432</v>
      </c>
      <c r="O76" s="2">
        <f>0.335397571267005*(8350/2783.333)</f>
        <v>1.0061928343031497</v>
      </c>
      <c r="P76" s="2">
        <f>0.487968923636243*(8350/2783.333)</f>
        <v>1.463906946226927</v>
      </c>
      <c r="Q76" s="2">
        <f>0.648532832903723*(8350/2783.333)</f>
        <v>1.9455987317170051</v>
      </c>
      <c r="R76" s="2">
        <f>0.647225713689881*(8350/2783.333)</f>
        <v>1.941677373605855</v>
      </c>
      <c r="S76" s="2">
        <f>0.222647975842324*(8350/2783.333)</f>
        <v>0.66794400752026717</v>
      </c>
      <c r="T76" s="2">
        <f t="shared" si="16"/>
        <v>0.10069243236843764</v>
      </c>
      <c r="U76" s="2">
        <f t="shared" si="17"/>
        <v>0.11437794326585224</v>
      </c>
      <c r="V76" s="2">
        <f t="shared" si="18"/>
        <v>0.11043877033537902</v>
      </c>
      <c r="W76" s="2">
        <f t="shared" si="19"/>
        <v>0.10705744606724045</v>
      </c>
      <c r="X76" s="2">
        <f t="shared" si="20"/>
        <v>0.11728533803050227</v>
      </c>
      <c r="Y76" s="2">
        <f t="shared" si="21"/>
        <v>0.10928020503416074</v>
      </c>
      <c r="Z76" s="2">
        <f t="shared" si="22"/>
        <v>0.10579568013572224</v>
      </c>
      <c r="AA76" s="2">
        <f t="shared" si="23"/>
        <v>0.11798772791544039</v>
      </c>
      <c r="AB76" s="2">
        <f t="shared" si="24"/>
        <v>0.10026757173055721</v>
      </c>
      <c r="AC76" s="2">
        <f t="shared" si="25"/>
        <v>0.1151901624778385</v>
      </c>
      <c r="AD76" s="2">
        <f t="shared" si="26"/>
        <v>0.10227444344259566</v>
      </c>
      <c r="AE76" s="2">
        <f t="shared" si="27"/>
        <v>0.10987695088187602</v>
      </c>
      <c r="AF76" s="2">
        <f t="shared" si="28"/>
        <v>0.11908712371493149</v>
      </c>
      <c r="AG76" s="2">
        <f t="shared" si="29"/>
        <v>9.9235315312320327E-2</v>
      </c>
      <c r="AH76" s="2">
        <f t="shared" si="30"/>
        <v>0.1199891551819615</v>
      </c>
      <c r="AI76" s="2">
        <f t="shared" si="31"/>
        <v>0.10099811712417744</v>
      </c>
      <c r="AJ76" s="2">
        <f>0.125071292903352*(8350/2783.333)</f>
        <v>0.37521392364585582</v>
      </c>
      <c r="AK76" s="2">
        <f>0.223632589993191*(8350/2783.333)</f>
        <v>0.67089785032662241</v>
      </c>
      <c r="AL76" s="2">
        <f>0.318474117609107*(8350/2783.333)</f>
        <v>0.95542246724917401</v>
      </c>
      <c r="AM76" s="2">
        <f>0.428647839460549*(8350/2783.333)</f>
        <v>1.2859436723868778</v>
      </c>
      <c r="AN76" s="2">
        <f>0.390678174013399*(8350/2783.333)</f>
        <v>1.1720346624036293</v>
      </c>
      <c r="AO76" s="2">
        <f>0.117899407044048*(8350/2783.333)</f>
        <v>0.35369826349121719</v>
      </c>
      <c r="AP76" s="2">
        <f>0.13010328286752*(8350/2783.333)</f>
        <v>0.39030989534625882</v>
      </c>
      <c r="AQ76" s="2">
        <f>0.118914989085308*(8350/2783.333)</f>
        <v>0.35674500997987696</v>
      </c>
      <c r="AR76" s="2">
        <f>0.154519714642505*(8350/2783.333)</f>
        <v>0.46355919944358825</v>
      </c>
      <c r="AS76" s="2">
        <f>0.14068538702029*(8350/2783.333)</f>
        <v>0.42205621160652407</v>
      </c>
      <c r="AT76" s="2">
        <f>0.193297380417126*(8350/2783.333)</f>
        <v>0.57989221069954688</v>
      </c>
      <c r="AU76" s="2">
        <f>0.0968641571120798*(8350/2783.333)</f>
        <v>0.29059250613773718</v>
      </c>
      <c r="AV76" s="2">
        <f>0.0791516152170846*(8350/2783.333)</f>
        <v>0.23745487408896326</v>
      </c>
      <c r="AW76" s="2">
        <f>0.0739863810320799*(8350/2783.333)</f>
        <v>0.2219591696781763</v>
      </c>
    </row>
    <row r="77" spans="1:49" x14ac:dyDescent="0.25">
      <c r="A77" s="5">
        <v>45699</v>
      </c>
      <c r="B77" s="2">
        <f>0.227409474982328*(8350/2783.333)</f>
        <v>0.6822285066509971</v>
      </c>
      <c r="C77" s="2">
        <f>0.223949026547331*(8350/2783.333)</f>
        <v>0.67184716010272949</v>
      </c>
      <c r="D77" s="2">
        <f>0.178784126006513*(8350/2783.333)</f>
        <v>0.53635244225336409</v>
      </c>
      <c r="E77" s="2">
        <f>0.21820796117488*(8350/2783.333)</f>
        <v>0.65462396192271777</v>
      </c>
      <c r="F77" s="2">
        <f>0.175368886126591*(8350/2783.333)</f>
        <v>0.52610672138656511</v>
      </c>
      <c r="G77" s="2">
        <f>0.217474670765487*(8350/2783.333)</f>
        <v>0.65242409043108351</v>
      </c>
      <c r="H77" s="2">
        <f>0.196729075015524*(8350/2783.333)</f>
        <v>0.59018729572768469</v>
      </c>
      <c r="I77" s="2">
        <f>0.225071790512974*(8350/2783.333)</f>
        <v>0.6752154524030487</v>
      </c>
      <c r="J77" s="2">
        <f>0.187361058014399*(8350/2783.333)</f>
        <v>0.5620832413585547</v>
      </c>
      <c r="K77" s="2">
        <f>0.258223565670368*(8350/2783.333)</f>
        <v>0.77467078978604764</v>
      </c>
      <c r="L77" s="2">
        <f>0.220092471394539*(8350/2783.333)</f>
        <v>0.66027749325876739</v>
      </c>
      <c r="M77" s="2">
        <f>0.578005080724536*(8350/2783.333)</f>
        <v>1.7340154498401288</v>
      </c>
      <c r="N77" s="2">
        <f>0.393996222786135*(8350/2783.333)</f>
        <v>1.1819888099139508</v>
      </c>
      <c r="O77" s="2">
        <f>0.47398850497084*(8350/2783.333)</f>
        <v>1.4219656852078113</v>
      </c>
      <c r="P77" s="2">
        <f>0.811269888942942*(8350/2783.333)</f>
        <v>2.4338099583030721</v>
      </c>
      <c r="Q77" s="2">
        <f>0.967846816813411*(8350/2783.333)</f>
        <v>2.9035407981696686</v>
      </c>
      <c r="R77" s="2">
        <f>0.584326837546356*(8350/2783.333)</f>
        <v>1.752980722576879</v>
      </c>
      <c r="S77" s="2">
        <f>0.199381647570912*(8350/2783.333)</f>
        <v>0.59814501434686917</v>
      </c>
      <c r="T77" s="2">
        <f t="shared" si="16"/>
        <v>0.10069243236843764</v>
      </c>
      <c r="U77" s="2">
        <f t="shared" si="17"/>
        <v>0.11437794326585224</v>
      </c>
      <c r="V77" s="2">
        <f t="shared" si="18"/>
        <v>0.11043877033537902</v>
      </c>
      <c r="W77" s="2">
        <f t="shared" si="19"/>
        <v>0.10705744606724045</v>
      </c>
      <c r="X77" s="2">
        <f t="shared" si="20"/>
        <v>0.11728533803050227</v>
      </c>
      <c r="Y77" s="2">
        <f t="shared" si="21"/>
        <v>0.10928020503416074</v>
      </c>
      <c r="Z77" s="2">
        <f t="shared" si="22"/>
        <v>0.10579568013572224</v>
      </c>
      <c r="AA77" s="2">
        <f t="shared" si="23"/>
        <v>0.11798772791544039</v>
      </c>
      <c r="AB77" s="2">
        <f t="shared" si="24"/>
        <v>0.10026757173055721</v>
      </c>
      <c r="AC77" s="2">
        <f t="shared" si="25"/>
        <v>0.1151901624778385</v>
      </c>
      <c r="AD77" s="2">
        <f t="shared" si="26"/>
        <v>0.10227444344259566</v>
      </c>
      <c r="AE77" s="2">
        <f t="shared" si="27"/>
        <v>0.10987695088187602</v>
      </c>
      <c r="AF77" s="2">
        <f t="shared" si="28"/>
        <v>0.11908712371493149</v>
      </c>
      <c r="AG77" s="2">
        <f t="shared" si="29"/>
        <v>9.9235315312320327E-2</v>
      </c>
      <c r="AH77" s="2">
        <f t="shared" si="30"/>
        <v>0.1199891551819615</v>
      </c>
      <c r="AI77" s="2">
        <f t="shared" si="31"/>
        <v>0.10099811712417744</v>
      </c>
      <c r="AJ77" s="2">
        <f>0.0973282061138814*(8350/2783.333)</f>
        <v>0.29198465330986612</v>
      </c>
      <c r="AK77" s="2">
        <f>0.235323837995517*(8350/2783.333)</f>
        <v>0.70597159853404634</v>
      </c>
      <c r="AL77" s="2">
        <f>0.185680758100617*(8350/2783.333)</f>
        <v>0.55704234101350736</v>
      </c>
      <c r="AM77" s="2">
        <f>0.238284573825024*(8350/2783.333)</f>
        <v>0.7148538070863063</v>
      </c>
      <c r="AN77" s="2">
        <f>0.37421875968692*(8350/2783.333)</f>
        <v>1.1226564135106301</v>
      </c>
      <c r="AO77" s="2">
        <f>0.219531680711132*(8350/2783.333)</f>
        <v>0.65859512100706441</v>
      </c>
      <c r="AP77" s="2">
        <f>0.209564570867272*(8350/2783.333)</f>
        <v>0.62869378789448604</v>
      </c>
      <c r="AQ77" s="2">
        <f>0.155843005638865*(8350/2783.333)</f>
        <v>0.4675290729081007</v>
      </c>
      <c r="AR77" s="2">
        <f>0.104537650498101*(8350/2783.333)</f>
        <v>0.31361298905274482</v>
      </c>
      <c r="AS77" s="2">
        <f>0.0971131128688631*(8350/2783.333)</f>
        <v>0.29133937349753219</v>
      </c>
      <c r="AT77" s="2">
        <f>0.103616577119274*(8350/2783.333)</f>
        <v>0.31084976858533803</v>
      </c>
      <c r="AU77" s="2">
        <f>0.0900637625203071*(8350/2783.333)</f>
        <v>0.27019131991916323</v>
      </c>
      <c r="AV77" s="2">
        <f>0.082869107908298*(8350/2783.333)</f>
        <v>0.24860735349822968</v>
      </c>
      <c r="AW77" s="2">
        <f>0.0842449968894692*(8350/2783.333)</f>
        <v>0.25273502093607469</v>
      </c>
    </row>
    <row r="78" spans="1:49" x14ac:dyDescent="0.25">
      <c r="A78" s="5">
        <v>45700</v>
      </c>
      <c r="B78" s="2">
        <f>0.246087871284778*(8350/2783.333)</f>
        <v>0.73826370226914861</v>
      </c>
      <c r="C78" s="2">
        <f>0.218662676135269*(8350/2783.333)</f>
        <v>0.65598810696725762</v>
      </c>
      <c r="D78" s="2">
        <f>0.180740188654287*(8350/2783.333)</f>
        <v>0.54222063089946226</v>
      </c>
      <c r="E78" s="2">
        <f>0.237665995929327*(8350/2783.333)</f>
        <v>0.71299807317697239</v>
      </c>
      <c r="F78" s="2">
        <f>0.208958472333466*(8350/2783.333)</f>
        <v>0.62687549207530635</v>
      </c>
      <c r="G78" s="2">
        <f>0.252062145636687*(8350/2783.333)</f>
        <v>0.75618652747132109</v>
      </c>
      <c r="H78" s="2">
        <f>0.23540639316178*(8350/2783.333)</f>
        <v>0.70621926406249647</v>
      </c>
      <c r="I78" s="2">
        <f>0.246973186277176*(8350/2783.333)</f>
        <v>0.74091964756442141</v>
      </c>
      <c r="J78" s="2">
        <f>0.19964053538955*(8350/2783.333)</f>
        <v>0.59892167789579642</v>
      </c>
      <c r="K78" s="2">
        <f>0.272889407128319*(8350/2783.333)</f>
        <v>0.81866831942906826</v>
      </c>
      <c r="L78" s="2">
        <f>0.265858391722326*(8350/2783.333)</f>
        <v>0.79757527068497536</v>
      </c>
      <c r="M78" s="2">
        <f>0.403986782792987*(8350/2783.333)</f>
        <v>1.2119604935239314</v>
      </c>
      <c r="N78" s="2">
        <f>0.423151943272309*(8350/2783.333)</f>
        <v>1.2694559818475835</v>
      </c>
      <c r="O78" s="2">
        <f>0.384974815843986*(8350/2783.333)</f>
        <v>1.1549245858462809</v>
      </c>
      <c r="P78" s="2">
        <f>0.515557272675748*(8350/2783.333)</f>
        <v>1.546672003257425</v>
      </c>
      <c r="Q78" s="2">
        <f>0.511751362691301*(8350/2783.333)</f>
        <v>1.5352542719366913</v>
      </c>
      <c r="R78" s="2">
        <f>0.52589415379172*(8350/2783.333)</f>
        <v>1.577682650319191</v>
      </c>
      <c r="S78" s="2">
        <f>0.288440837907841*(8350/2783.333)</f>
        <v>0.86532261735497562</v>
      </c>
      <c r="T78" s="2">
        <f t="shared" si="16"/>
        <v>0.10069243236843764</v>
      </c>
      <c r="U78" s="2">
        <f t="shared" si="17"/>
        <v>0.11437794326585224</v>
      </c>
      <c r="V78" s="2">
        <f t="shared" si="18"/>
        <v>0.11043877033537902</v>
      </c>
      <c r="W78" s="2">
        <f t="shared" si="19"/>
        <v>0.10705744606724045</v>
      </c>
      <c r="X78" s="2">
        <f t="shared" si="20"/>
        <v>0.11728533803050227</v>
      </c>
      <c r="Y78" s="2">
        <f t="shared" si="21"/>
        <v>0.10928020503416074</v>
      </c>
      <c r="Z78" s="2">
        <f t="shared" si="22"/>
        <v>0.10579568013572224</v>
      </c>
      <c r="AA78" s="2">
        <f t="shared" si="23"/>
        <v>0.11798772791544039</v>
      </c>
      <c r="AB78" s="2">
        <f t="shared" si="24"/>
        <v>0.10026757173055721</v>
      </c>
      <c r="AC78" s="2">
        <f t="shared" si="25"/>
        <v>0.1151901624778385</v>
      </c>
      <c r="AD78" s="2">
        <f t="shared" si="26"/>
        <v>0.10227444344259566</v>
      </c>
      <c r="AE78" s="2">
        <f t="shared" si="27"/>
        <v>0.10987695088187602</v>
      </c>
      <c r="AF78" s="2">
        <f t="shared" si="28"/>
        <v>0.11908712371493149</v>
      </c>
      <c r="AG78" s="2">
        <f t="shared" si="29"/>
        <v>9.9235315312320327E-2</v>
      </c>
      <c r="AH78" s="2">
        <f t="shared" si="30"/>
        <v>0.1199891551819615</v>
      </c>
      <c r="AI78" s="2">
        <f t="shared" si="31"/>
        <v>0.10099811712417744</v>
      </c>
      <c r="AJ78" s="2">
        <f>0.11142715185935*(8350/2783.333)</f>
        <v>0.33428149561176268</v>
      </c>
      <c r="AK78" s="2">
        <f>0.226030794711617*(8350/2783.333)</f>
        <v>0.67809246534352985</v>
      </c>
      <c r="AL78" s="2">
        <f>0.222184560389747*(8350/2783.333)</f>
        <v>0.66655376099603936</v>
      </c>
      <c r="AM78" s="2">
        <f>0.278604571060326*(8350/2783.333)</f>
        <v>0.83581381327844162</v>
      </c>
      <c r="AN78" s="2">
        <f>0.286642253270562*(8350/2783.333)</f>
        <v>0.85992686279693931</v>
      </c>
      <c r="AO78" s="2">
        <f>0.105661747072387*(8350/2783.333)</f>
        <v>0.31698527917947045</v>
      </c>
      <c r="AP78" s="2">
        <f>0.150759886037267*(8350/2783.333)</f>
        <v>0.45227971227703478</v>
      </c>
      <c r="AQ78" s="2">
        <f>0.126537744795904*(8350/2783.333)</f>
        <v>0.37961327985038174</v>
      </c>
      <c r="AR78" s="2">
        <f>0.15027287259102*(8350/2783.333)</f>
        <v>0.45081867176332069</v>
      </c>
      <c r="AS78" s="2">
        <f>0.20467714020209*(8350/2783.333)</f>
        <v>0.61403149414297731</v>
      </c>
      <c r="AT78" s="2">
        <f>0.120667406265483*(8350/2783.333)</f>
        <v>0.36200226215001391</v>
      </c>
      <c r="AU78" s="2">
        <f>0.155911485762594*(8350/2783.333)</f>
        <v>0.46773451330389199</v>
      </c>
      <c r="AV78" s="2">
        <f>0.0751243314682701*(8350/2783.333)</f>
        <v>0.22537302139559137</v>
      </c>
      <c r="AW78" s="2">
        <f>0.0746081153264672*(8350/2783.333)</f>
        <v>0.22382437278471562</v>
      </c>
    </row>
    <row r="79" spans="1:49" x14ac:dyDescent="0.25">
      <c r="A79" s="5">
        <v>45701</v>
      </c>
      <c r="B79" s="2">
        <f>0.230211234427696*(8350/2783.333)</f>
        <v>0.69063378599371983</v>
      </c>
      <c r="C79" s="2">
        <f>0.229715954269579*(8350/2783.333)</f>
        <v>0.6891479453414262</v>
      </c>
      <c r="D79" s="2">
        <f>0.228859329789519*(8350/2783.333)</f>
        <v>0.68657807159347517</v>
      </c>
      <c r="E79" s="2">
        <f>0.349781339038289*(8350/2783.333)</f>
        <v>1.0493441427848231</v>
      </c>
      <c r="F79" s="2">
        <f>0.401122151563494*(8350/2783.333)</f>
        <v>1.2033665988062416</v>
      </c>
      <c r="G79" s="2">
        <f>0.446794367171797*(8350/2783.333)</f>
        <v>1.3403832620403313</v>
      </c>
      <c r="H79" s="2">
        <f>0.444550409804497*(8350/2783.333)</f>
        <v>1.3336513891322195</v>
      </c>
      <c r="I79" s="2">
        <f>0.371857740847522*(8350/2783.333)</f>
        <v>1.1155733561441668</v>
      </c>
      <c r="J79" s="2">
        <f>0.220634480579324*(8350/2783.333)</f>
        <v>0.66190352100785443</v>
      </c>
      <c r="K79" s="2">
        <f>0.269746726815901*(8350/2783.333)</f>
        <v>0.80924027736270698</v>
      </c>
      <c r="L79" s="2">
        <f>0.339915971889109*(8350/2783.333)</f>
        <v>1.0197480377928405</v>
      </c>
      <c r="M79" s="2">
        <f>0.664793953363814*(8350/2783.333)</f>
        <v>1.9943820989395988</v>
      </c>
      <c r="N79" s="2">
        <f>0.339230747818862*(8350/2783.333)</f>
        <v>1.0176923653359111</v>
      </c>
      <c r="O79" s="2">
        <f>0.498401542073141*(8350/2783.333)</f>
        <v>1.495204805285868</v>
      </c>
      <c r="P79" s="2">
        <f>0.73669513294553*(8350/2783.333)</f>
        <v>2.2100856635175079</v>
      </c>
      <c r="Q79" s="2">
        <f>0.566935611018382*(8350/2783.333)</f>
        <v>1.7008070367446111</v>
      </c>
      <c r="R79" s="2">
        <f>0.55752968321302*(8350/2783.333)</f>
        <v>1.6725892499491495</v>
      </c>
      <c r="S79" s="2">
        <f>0.160707154881345*(8350/2783.333)</f>
        <v>0.48212152238314071</v>
      </c>
      <c r="T79" s="2">
        <f t="shared" si="16"/>
        <v>0.10069243236843764</v>
      </c>
      <c r="U79" s="2">
        <f t="shared" si="17"/>
        <v>0.11437794326585224</v>
      </c>
      <c r="V79" s="2">
        <f t="shared" si="18"/>
        <v>0.11043877033537902</v>
      </c>
      <c r="W79" s="2">
        <f t="shared" si="19"/>
        <v>0.10705744606724045</v>
      </c>
      <c r="X79" s="2">
        <f t="shared" si="20"/>
        <v>0.11728533803050227</v>
      </c>
      <c r="Y79" s="2">
        <f t="shared" si="21"/>
        <v>0.10928020503416074</v>
      </c>
      <c r="Z79" s="2">
        <f t="shared" si="22"/>
        <v>0.10579568013572224</v>
      </c>
      <c r="AA79" s="2">
        <f t="shared" si="23"/>
        <v>0.11798772791544039</v>
      </c>
      <c r="AB79" s="2">
        <f t="shared" si="24"/>
        <v>0.10026757173055721</v>
      </c>
      <c r="AC79" s="2">
        <f t="shared" si="25"/>
        <v>0.1151901624778385</v>
      </c>
      <c r="AD79" s="2">
        <f t="shared" si="26"/>
        <v>0.10227444344259566</v>
      </c>
      <c r="AE79" s="2">
        <f t="shared" si="27"/>
        <v>0.10987695088187602</v>
      </c>
      <c r="AF79" s="2">
        <f t="shared" si="28"/>
        <v>0.11908712371493149</v>
      </c>
      <c r="AG79" s="2">
        <f t="shared" si="29"/>
        <v>9.9235315312320327E-2</v>
      </c>
      <c r="AH79" s="2">
        <f t="shared" si="30"/>
        <v>0.1199891551819615</v>
      </c>
      <c r="AI79" s="2">
        <f t="shared" si="31"/>
        <v>0.10099811712417744</v>
      </c>
      <c r="AJ79" s="2">
        <f>0.167368130139759*(8350/2783.333)</f>
        <v>0.50210445055154529</v>
      </c>
      <c r="AK79" s="2">
        <f>0.416088518646849*(8350/2783.333)</f>
        <v>1.2482657054334474</v>
      </c>
      <c r="AL79" s="2">
        <f>0.286281788031291*(8350/2783.333)</f>
        <v>0.85884546694961805</v>
      </c>
      <c r="AM79" s="2">
        <f>0.304052438167853*(8350/2783.333)</f>
        <v>0.91215742374396869</v>
      </c>
      <c r="AN79" s="2">
        <f>0.249686209782808*(8350/2783.333)</f>
        <v>0.74905871905605592</v>
      </c>
      <c r="AO79" s="2">
        <f>0.106557185606899*(8350/2783.333)</f>
        <v>0.31967159510472037</v>
      </c>
      <c r="AP79" s="2">
        <f>0.103616186867602*(8350/2783.333)</f>
        <v>0.31084859783018298</v>
      </c>
      <c r="AQ79" s="2">
        <f>0.1068879745197*(8350/2783.333)</f>
        <v>0.32066396196196906</v>
      </c>
      <c r="AR79" s="2">
        <f>0.210545361706332*(8350/2783.333)</f>
        <v>0.63163616076404394</v>
      </c>
      <c r="AS79" s="2">
        <f>0.11688945870143*(8350/2783.333)</f>
        <v>0.35066841810050653</v>
      </c>
      <c r="AT79" s="2">
        <f>0.189362573691078*(8350/2783.333)</f>
        <v>0.56808778910769853</v>
      </c>
      <c r="AU79" s="2">
        <f>0.0739750240958692*(8350/2783.333)</f>
        <v>0.22192509886546366</v>
      </c>
      <c r="AV79" s="2">
        <f>0.0724911074786607*(8350/2783.333)</f>
        <v>0.21747334848069436</v>
      </c>
      <c r="AW79" s="2">
        <f>0.0682353388089981*(8350/2783.333)</f>
        <v>0.20470604094268785</v>
      </c>
    </row>
    <row r="80" spans="1:49" x14ac:dyDescent="0.25">
      <c r="A80" s="5">
        <v>45702</v>
      </c>
      <c r="B80" s="2">
        <f>0.230678194335257*(8350/2783.333)</f>
        <v>0.69203466588417384</v>
      </c>
      <c r="C80" s="2">
        <f>0.236924613922391*(8350/2783.333)</f>
        <v>0.71077392688979768</v>
      </c>
      <c r="D80" s="2">
        <f>0.24881116879681*(8350/2783.333)</f>
        <v>0.7464335957836753</v>
      </c>
      <c r="E80" s="2">
        <f>0.330786590825613*(8350/2783.333)</f>
        <v>0.99235989132233582</v>
      </c>
      <c r="F80" s="2">
        <f>0.27809052766622*(8350/2783.333)</f>
        <v>0.83427168291143561</v>
      </c>
      <c r="G80" s="2">
        <f>0.334029723071174*(8350/2783.333)</f>
        <v>1.0020892892242139</v>
      </c>
      <c r="H80" s="2">
        <f>0.321355989042348*(8350/2783.333)</f>
        <v>0.96406808258429966</v>
      </c>
      <c r="I80" s="2">
        <f>0.276796363488006*(8350/2783.333)</f>
        <v>0.83038918991182409</v>
      </c>
      <c r="J80" s="2">
        <f>0.225783938833419*(8350/2783.333)</f>
        <v>0.67735189762024595</v>
      </c>
      <c r="K80" s="2">
        <f>0.296459509471457*(8350/2783.333)</f>
        <v>0.88937863492678115</v>
      </c>
      <c r="L80" s="2">
        <f>0.289989513349705*(8350/2783.333)</f>
        <v>0.86996864423697662</v>
      </c>
      <c r="M80" s="2">
        <f>0.287680882403294*(8350/2783.333)</f>
        <v>0.86304275056829549</v>
      </c>
      <c r="N80" s="2">
        <f>0.347110672274585*(8350/2783.333)</f>
        <v>1.041332141534191</v>
      </c>
      <c r="O80" s="2">
        <f>0.269670163683885*(8350/2783.333)</f>
        <v>0.80901058793915082</v>
      </c>
      <c r="P80" s="2">
        <f>0.320714557584245*(8350/2783.333)</f>
        <v>0.96214378797953526</v>
      </c>
      <c r="Q80" s="2">
        <f>0.418362634753165*(8350/2783.333)</f>
        <v>1.2550880545694427</v>
      </c>
      <c r="R80" s="2">
        <f>1.16939804049086*(8350/2783.333)</f>
        <v>3.5081945416156386</v>
      </c>
      <c r="S80" s="2">
        <f>0.203387770319632*(8350/2783.333)</f>
        <v>0.61016338403235448</v>
      </c>
      <c r="T80" s="2">
        <f t="shared" si="16"/>
        <v>0.10069243236843764</v>
      </c>
      <c r="U80" s="2">
        <f t="shared" si="17"/>
        <v>0.11437794326585224</v>
      </c>
      <c r="V80" s="2">
        <f t="shared" si="18"/>
        <v>0.11043877033537902</v>
      </c>
      <c r="W80" s="2">
        <f t="shared" si="19"/>
        <v>0.10705744606724045</v>
      </c>
      <c r="X80" s="2">
        <f t="shared" si="20"/>
        <v>0.11728533803050227</v>
      </c>
      <c r="Y80" s="2">
        <f t="shared" si="21"/>
        <v>0.10928020503416074</v>
      </c>
      <c r="Z80" s="2">
        <f t="shared" si="22"/>
        <v>0.10579568013572224</v>
      </c>
      <c r="AA80" s="2">
        <f t="shared" si="23"/>
        <v>0.11798772791544039</v>
      </c>
      <c r="AB80" s="2">
        <f t="shared" si="24"/>
        <v>0.10026757173055721</v>
      </c>
      <c r="AC80" s="2">
        <f t="shared" si="25"/>
        <v>0.1151901624778385</v>
      </c>
      <c r="AD80" s="2">
        <f t="shared" si="26"/>
        <v>0.10227444344259566</v>
      </c>
      <c r="AE80" s="2">
        <f t="shared" si="27"/>
        <v>0.10987695088187602</v>
      </c>
      <c r="AF80" s="2">
        <f t="shared" si="28"/>
        <v>0.11908712371493149</v>
      </c>
      <c r="AG80" s="2">
        <f t="shared" si="29"/>
        <v>9.9235315312320327E-2</v>
      </c>
      <c r="AH80" s="2">
        <f t="shared" si="30"/>
        <v>0.1199891551819615</v>
      </c>
      <c r="AI80" s="2">
        <f t="shared" si="31"/>
        <v>0.10099811712417744</v>
      </c>
      <c r="AJ80" s="2">
        <f>0.167822934841225*(8350/2783.333)</f>
        <v>0.50346886481934827</v>
      </c>
      <c r="AK80" s="2">
        <f>0.450562711474218*(8350/2783.333)</f>
        <v>1.3516882963014918</v>
      </c>
      <c r="AL80" s="2">
        <f>0.270185623242383*(8350/2783.333)</f>
        <v>0.81055696679984057</v>
      </c>
      <c r="AM80" s="2">
        <f>0.399234070985616*(8350/2783.333)</f>
        <v>1.1977023563942546</v>
      </c>
      <c r="AN80" s="2">
        <f>0.293785017978279*(8350/2783.333)</f>
        <v>0.8813551594863539</v>
      </c>
      <c r="AO80" s="2">
        <f>0.142822446254625*(8350/2783.333)</f>
        <v>0.42846739007733514</v>
      </c>
      <c r="AP80" s="2">
        <f>0.113444731924175*(8350/2783.333)</f>
        <v>0.34033423653111683</v>
      </c>
      <c r="AQ80" s="2">
        <f>0.118237410799921*(8350/2783.333)</f>
        <v>0.35471227488027612</v>
      </c>
      <c r="AR80" s="2">
        <f>0.173303823716383*(8350/2783.333)</f>
        <v>0.51991153341400331</v>
      </c>
      <c r="AS80" s="2">
        <f>0.203551657105928*(8350/2783.333)</f>
        <v>0.61065504445012553</v>
      </c>
      <c r="AT80" s="2">
        <f>0.201166993869223*(8350/2783.333)</f>
        <v>0.60350105388324371</v>
      </c>
      <c r="AU80" s="2">
        <f>0.185269286805125*(8350/2783.333)</f>
        <v>0.55580792697919945</v>
      </c>
      <c r="AV80" s="2">
        <f>0.105174064055578*(8350/2783.333)</f>
        <v>0.315522229953828</v>
      </c>
      <c r="AW80" s="2">
        <f>0.089996039112551*(8350/2783.333)</f>
        <v>0.26998814967156315</v>
      </c>
    </row>
    <row r="81" spans="1:49" x14ac:dyDescent="0.25">
      <c r="A81" s="5">
        <v>45703</v>
      </c>
      <c r="B81" s="2">
        <f>0.267101067125034*(8350/2783.333)</f>
        <v>0.80130329733956929</v>
      </c>
      <c r="C81" s="2">
        <f>0.278254262598507*(8350/2783.333)</f>
        <v>0.83476288776712515</v>
      </c>
      <c r="D81" s="2">
        <f>0.250376018915029*(8350/2783.333)</f>
        <v>0.75112814670055394</v>
      </c>
      <c r="E81" s="2">
        <f>0.278898498147086*(8350/2783.333)</f>
        <v>0.83669559464432253</v>
      </c>
      <c r="F81" s="2">
        <f>0.219504040096089*(8350/2783.333)</f>
        <v>0.65851219915200365</v>
      </c>
      <c r="G81" s="2">
        <f>0.285228217430988*(8350/2783.333)</f>
        <v>0.85568475477017991</v>
      </c>
      <c r="H81" s="2">
        <f>0.291751128239041*(8350/2783.333)</f>
        <v>0.87525348953790116</v>
      </c>
      <c r="I81" s="2">
        <f>0.283786170646794*(8350/2783.333)</f>
        <v>0.85135861389949596</v>
      </c>
      <c r="J81" s="2">
        <f>0.246381771849802*(8350/2783.333)</f>
        <v>0.73914540406981244</v>
      </c>
      <c r="K81" s="2">
        <f>0.332076553012197*(8350/2783.333)</f>
        <v>0.99622977834554616</v>
      </c>
      <c r="L81" s="2">
        <f>0.314120634977083*(8350/2783.333)</f>
        <v>0.9423620177889771</v>
      </c>
      <c r="M81" s="2">
        <f>0.329533384437464*(8350/2783.333)</f>
        <v>0.98860027170763376</v>
      </c>
      <c r="N81" s="2">
        <f>0.330168834694781*(8350/2783.333)</f>
        <v>0.99050662270789058</v>
      </c>
      <c r="O81" s="2">
        <f>0.301219319323782*(8350/2783.333)</f>
        <v>0.90365806619387035</v>
      </c>
      <c r="P81" s="2">
        <f>0.710831055720994*(8350/2783.333)</f>
        <v>2.1324934225514167</v>
      </c>
      <c r="Q81" s="2">
        <f>0.476376844532917*(8350/2783.333)</f>
        <v>1.4291307047521273</v>
      </c>
      <c r="R81" s="2">
        <f>0.571300443078762*(8350/2783.333)</f>
        <v>1.713901534493955</v>
      </c>
      <c r="S81" s="2">
        <f>0.210321444307801*(8350/2783.333)</f>
        <v>0.63096440848800306</v>
      </c>
      <c r="T81" s="2">
        <f t="shared" si="16"/>
        <v>0.10069243236843764</v>
      </c>
      <c r="U81" s="2">
        <f t="shared" si="17"/>
        <v>0.11437794326585224</v>
      </c>
      <c r="V81" s="2">
        <f t="shared" si="18"/>
        <v>0.11043877033537902</v>
      </c>
      <c r="W81" s="2">
        <f t="shared" si="19"/>
        <v>0.10705744606724045</v>
      </c>
      <c r="X81" s="2">
        <f t="shared" si="20"/>
        <v>0.11728533803050227</v>
      </c>
      <c r="Y81" s="2">
        <f t="shared" si="21"/>
        <v>0.10928020503416074</v>
      </c>
      <c r="Z81" s="2">
        <f t="shared" si="22"/>
        <v>0.10579568013572224</v>
      </c>
      <c r="AA81" s="2">
        <f t="shared" si="23"/>
        <v>0.11798772791544039</v>
      </c>
      <c r="AB81" s="2">
        <f t="shared" si="24"/>
        <v>0.10026757173055721</v>
      </c>
      <c r="AC81" s="2">
        <f t="shared" si="25"/>
        <v>0.1151901624778385</v>
      </c>
      <c r="AD81" s="2">
        <f t="shared" si="26"/>
        <v>0.10227444344259566</v>
      </c>
      <c r="AE81" s="2">
        <f t="shared" si="27"/>
        <v>0.10987695088187602</v>
      </c>
      <c r="AF81" s="2">
        <f t="shared" si="28"/>
        <v>0.11908712371493149</v>
      </c>
      <c r="AG81" s="2">
        <f t="shared" si="29"/>
        <v>9.9235315312320327E-2</v>
      </c>
      <c r="AH81" s="2">
        <f t="shared" si="30"/>
        <v>0.1199891551819615</v>
      </c>
      <c r="AI81" s="2">
        <f t="shared" si="31"/>
        <v>0.10099811712417744</v>
      </c>
      <c r="AJ81" s="2">
        <f>0.194353209093452*(8350/2783.333)</f>
        <v>0.58305969710786365</v>
      </c>
      <c r="AK81" s="2">
        <f>0.239520696252761*(8350/2783.333)</f>
        <v>0.71856217481363416</v>
      </c>
      <c r="AL81" s="2">
        <f>0.317324391552756*(8350/2783.333)</f>
        <v>0.95197328866704622</v>
      </c>
      <c r="AM81" s="2">
        <f>0.246216376559838*(8350/2783.333)</f>
        <v>0.738649218140497</v>
      </c>
      <c r="AN81" s="2">
        <f>0.211798501333178*(8350/2783.333)</f>
        <v>0.63539558009481367</v>
      </c>
      <c r="AO81" s="2">
        <f>0.142225487231617*(8350/2783.333)</f>
        <v>0.42667651279383545</v>
      </c>
      <c r="AP81" s="2">
        <f>0.108946923169472*(8350/2783.333)</f>
        <v>0.32684080865102871</v>
      </c>
      <c r="AQ81" s="2">
        <f>0.109090103947206*(8350/2783.333)</f>
        <v>0.32727035103567054</v>
      </c>
      <c r="AR81" s="2">
        <f>0.220672446598335*(8350/2783.333)</f>
        <v>0.66201741907852885</v>
      </c>
      <c r="AS81" s="2">
        <f>0.160944082751212*(8350/2783.333)</f>
        <v>0.4828323060778637</v>
      </c>
      <c r="AT81" s="2">
        <f>0.18952652397133*(8350/2783.333)</f>
        <v>0.56857964000735917</v>
      </c>
      <c r="AU81" s="2">
        <f>0.152262493542619*(8350/2783.333)</f>
        <v>0.4567875353329498</v>
      </c>
      <c r="AV81" s="2">
        <f>0.0878257648299158*(8350/2783.333)</f>
        <v>0.26347732604391816</v>
      </c>
      <c r="AW81" s="2">
        <f>0.0728983460169023*(8350/2783.333)</f>
        <v>0.21869506424173257</v>
      </c>
    </row>
    <row r="82" spans="1:49" x14ac:dyDescent="0.25">
      <c r="A82" s="5">
        <v>45704</v>
      </c>
      <c r="B82" s="2">
        <f>0.207330198957194*(8350/2783.333)</f>
        <v>0.62199067136148367</v>
      </c>
      <c r="C82" s="2">
        <f>0.21481805765377*(8350/2783.333)</f>
        <v>0.64445425014145941</v>
      </c>
      <c r="D82" s="2">
        <f>0.176828063358739*(8350/2783.333)</f>
        <v>0.53048425360726625</v>
      </c>
      <c r="E82" s="2">
        <f>0.211258663048291*(8350/2783.333)</f>
        <v>0.6337760650461981</v>
      </c>
      <c r="F82" s="2">
        <f>0.17068196712098*(8350/2783.333)</f>
        <v>0.51204596268581037</v>
      </c>
      <c r="G82" s="2">
        <f>0.20799865025283*(8350/2783.333)</f>
        <v>0.62399602548855293</v>
      </c>
      <c r="H82" s="2">
        <f>0.208666518887825*(8350/2783.333)</f>
        <v>0.62599963163349048</v>
      </c>
      <c r="I82" s="2">
        <f>0.170551294674428*(8350/2783.333)</f>
        <v>0.51165394529920438</v>
      </c>
      <c r="J82" s="2">
        <f>0.169139898038369*(8350/2783.333)</f>
        <v>0.50741975488393876</v>
      </c>
      <c r="K82" s="2">
        <f>0.229939442858603*(8350/2783.333)</f>
        <v>0.68981841118879295</v>
      </c>
      <c r="L82" s="2">
        <f>0.272931306682075*(8350/2783.333)</f>
        <v>0.81879401810538976</v>
      </c>
      <c r="M82" s="2">
        <f>0.284156461179364*(8350/2783.333)</f>
        <v>0.85246948563024627</v>
      </c>
      <c r="N82" s="2">
        <f>0.250187601469196*(8350/2783.333)</f>
        <v>0.75056289429535905</v>
      </c>
      <c r="O82" s="2">
        <f>0.498777127259331*(8350/2783.333)</f>
        <v>1.4963315609793766</v>
      </c>
      <c r="P82" s="2">
        <f>0.373735915894543*(8350/2783.333)</f>
        <v>1.1212078819600226</v>
      </c>
      <c r="Q82" s="2">
        <f>0.66881422331453*(8350/2783.333)</f>
        <v>2.0064429102361547</v>
      </c>
      <c r="R82" s="2">
        <f>0.416472440263931*(8350/2783.333)</f>
        <v>1.2494174704226289</v>
      </c>
      <c r="S82" s="2">
        <f>0.0696449031700558*(8350/2783.333)</f>
        <v>0.20893473453229117</v>
      </c>
      <c r="T82" s="2">
        <f t="shared" si="16"/>
        <v>0.10069243236843764</v>
      </c>
      <c r="U82" s="2">
        <f t="shared" si="17"/>
        <v>0.11437794326585224</v>
      </c>
      <c r="V82" s="2">
        <f t="shared" si="18"/>
        <v>0.11043877033537902</v>
      </c>
      <c r="W82" s="2">
        <f t="shared" si="19"/>
        <v>0.10705744606724045</v>
      </c>
      <c r="X82" s="2">
        <f t="shared" si="20"/>
        <v>0.11728533803050227</v>
      </c>
      <c r="Y82" s="2">
        <f t="shared" si="21"/>
        <v>0.10928020503416074</v>
      </c>
      <c r="Z82" s="2">
        <f t="shared" si="22"/>
        <v>0.10579568013572224</v>
      </c>
      <c r="AA82" s="2">
        <f t="shared" si="23"/>
        <v>0.11798772791544039</v>
      </c>
      <c r="AB82" s="2">
        <f t="shared" si="24"/>
        <v>0.10026757173055721</v>
      </c>
      <c r="AC82" s="2">
        <f t="shared" si="25"/>
        <v>0.1151901624778385</v>
      </c>
      <c r="AD82" s="2">
        <f t="shared" si="26"/>
        <v>0.10227444344259566</v>
      </c>
      <c r="AE82" s="2">
        <f t="shared" si="27"/>
        <v>0.10987695088187602</v>
      </c>
      <c r="AF82" s="2">
        <f t="shared" si="28"/>
        <v>0.11908712371493149</v>
      </c>
      <c r="AG82" s="2">
        <f t="shared" si="29"/>
        <v>9.9235315312320327E-2</v>
      </c>
      <c r="AH82" s="2">
        <f t="shared" si="30"/>
        <v>0.1199891551819615</v>
      </c>
      <c r="AI82" s="2">
        <f t="shared" si="31"/>
        <v>0.10099811712417744</v>
      </c>
      <c r="AJ82" s="2">
        <f>0.143263480962022*(8350/2783.333)</f>
        <v>0.42979049435798061</v>
      </c>
      <c r="AK82" s="2">
        <f>0.174169617675662*(8350/2783.333)</f>
        <v>0.52250891560290558</v>
      </c>
      <c r="AL82" s="2">
        <f>0.188555073241493*(8350/2783.333)</f>
        <v>0.56566528746882505</v>
      </c>
      <c r="AM82" s="2">
        <f>0.234979656018852*(8350/2783.333)</f>
        <v>0.70493905248039368</v>
      </c>
      <c r="AN82" s="2">
        <f>0.266766734083871*(8350/2783.333)</f>
        <v>0.80030029809596026</v>
      </c>
      <c r="AO82" s="2">
        <f>0.130584786282964*(8350/2783.333)</f>
        <v>0.39175440576558879</v>
      </c>
      <c r="AP82" s="2">
        <f>0.141097926490127*(8350/2783.333)</f>
        <v>0.42329383016425254</v>
      </c>
      <c r="AQ82" s="2">
        <f>0.130433819936876*(8350/2783.333)</f>
        <v>0.39130150667308444</v>
      </c>
      <c r="AR82" s="2">
        <f>0.111397933812039*(8350/2783.333)</f>
        <v>0.33419384145933095</v>
      </c>
      <c r="AS82" s="2">
        <f>0.208535939388933*(8350/2783.333)</f>
        <v>0.62560789308989961</v>
      </c>
      <c r="AT82" s="2">
        <f>0.152309810354122*(8350/2783.333)</f>
        <v>0.45692948578446069</v>
      </c>
      <c r="AU82" s="2">
        <f>0.203348384622277*(8350/2783.333)</f>
        <v>0.61004522692614016</v>
      </c>
      <c r="AV82" s="2">
        <f>0.0946411680971403*(8350/2783.333)</f>
        <v>0.28392353829423983</v>
      </c>
      <c r="AW82" s="2">
        <f>0.0901514726861478*(8350/2783.333)</f>
        <v>0.27045445044819805</v>
      </c>
    </row>
    <row r="83" spans="1:49" x14ac:dyDescent="0.25">
      <c r="A83" s="5">
        <v>45705</v>
      </c>
      <c r="B83" s="2">
        <f>0.240484352394043*(8350/2783.333)</f>
        <v>0.72145314358370338</v>
      </c>
      <c r="C83" s="2">
        <f>0.230677108889954*(8350/2783.333)</f>
        <v>0.69203140954787601</v>
      </c>
      <c r="D83" s="2">
        <f>0.17526321324052*(8350/2783.333)</f>
        <v>0.52578970269038794</v>
      </c>
      <c r="E83" s="2">
        <f>0.20569922454702*(8350/2783.333)</f>
        <v>0.61709774754498248</v>
      </c>
      <c r="F83" s="2">
        <f>0.169510237369578*(8350/2783.333)</f>
        <v>0.50853077301062211</v>
      </c>
      <c r="G83" s="2">
        <f>0.210367655380994*(8350/2783.333)</f>
        <v>0.63110304172418574</v>
      </c>
      <c r="H83" s="2">
        <f>0.212009003172069*(8350/2783.333)</f>
        <v>0.63602708568711608</v>
      </c>
      <c r="I83" s="2">
        <f>0.203170394748772*(8350/2783.333)</f>
        <v>0.60951125724167521</v>
      </c>
      <c r="J83" s="2">
        <f>0.174685468465856*(8350/2783.333)</f>
        <v>0.5240564681588219</v>
      </c>
      <c r="K83" s="2">
        <f>0.238843703743788*(8350/2783.333)</f>
        <v>0.71653119704348467</v>
      </c>
      <c r="L83" s="2">
        <f>0.219260363752216*(8350/2783.333)</f>
        <v>0.65778117003283632</v>
      </c>
      <c r="M83" s="2">
        <f>0.225562958331526*(8350/2783.333)</f>
        <v>0.67668895603517243</v>
      </c>
      <c r="N83" s="2">
        <f>0.22930580166153*(8350/2783.333)</f>
        <v>0.68791748736991898</v>
      </c>
      <c r="O83" s="2">
        <f>0.390233008450636*(8350/2783.333)</f>
        <v>1.1706991655554009</v>
      </c>
      <c r="P83" s="2">
        <f>0.421584458759935*(8350/2783.333)</f>
        <v>1.2647535277472925</v>
      </c>
      <c r="Q83" s="2">
        <f>0.486753369859376*(8350/2783.333)</f>
        <v>1.4602602844595998</v>
      </c>
      <c r="R83" s="2">
        <f>0.599214145509321*(8350/2783.333)</f>
        <v>1.7976426518145066</v>
      </c>
      <c r="S83" s="2">
        <f>0.196145933043099*(8350/2783.333)</f>
        <v>0.58843786960089961</v>
      </c>
      <c r="T83" s="2">
        <f t="shared" si="16"/>
        <v>0.10069243236843764</v>
      </c>
      <c r="U83" s="2">
        <f t="shared" si="17"/>
        <v>0.11437794326585224</v>
      </c>
      <c r="V83" s="2">
        <f t="shared" si="18"/>
        <v>0.11043877033537902</v>
      </c>
      <c r="W83" s="2">
        <f t="shared" si="19"/>
        <v>0.10705744606724045</v>
      </c>
      <c r="X83" s="2">
        <f t="shared" si="20"/>
        <v>0.11728533803050227</v>
      </c>
      <c r="Y83" s="2">
        <f t="shared" si="21"/>
        <v>0.10928020503416074</v>
      </c>
      <c r="Z83" s="2">
        <f t="shared" si="22"/>
        <v>0.10579568013572224</v>
      </c>
      <c r="AA83" s="2">
        <f t="shared" si="23"/>
        <v>0.11798772791544039</v>
      </c>
      <c r="AB83" s="2">
        <f t="shared" si="24"/>
        <v>0.10026757173055721</v>
      </c>
      <c r="AC83" s="2">
        <f t="shared" si="25"/>
        <v>0.1151901624778385</v>
      </c>
      <c r="AD83" s="2">
        <f t="shared" si="26"/>
        <v>0.10227444344259566</v>
      </c>
      <c r="AE83" s="2">
        <f t="shared" si="27"/>
        <v>0.10987695088187602</v>
      </c>
      <c r="AF83" s="2">
        <f t="shared" si="28"/>
        <v>0.11908712371493149</v>
      </c>
      <c r="AG83" s="2">
        <f t="shared" si="29"/>
        <v>9.9235315312320327E-2</v>
      </c>
      <c r="AH83" s="2">
        <f t="shared" si="30"/>
        <v>0.1199891551819615</v>
      </c>
      <c r="AI83" s="2">
        <f t="shared" si="31"/>
        <v>0.10099811712417744</v>
      </c>
      <c r="AJ83" s="2">
        <f>0.267121961328129*(8350/2783.333)</f>
        <v>0.80136597995636172</v>
      </c>
      <c r="AK83" s="2">
        <f>0.338746416477622*(8350/2783.333)</f>
        <v>1.016239371138181</v>
      </c>
      <c r="AL83" s="2">
        <f>0.416200832398905*(8350/2783.333)</f>
        <v>1.2486026467299671</v>
      </c>
      <c r="AM83" s="2">
        <f>0.26736785051934*(8350/2783.333)</f>
        <v>0.8021036476183383</v>
      </c>
      <c r="AN83" s="2">
        <f>0.441609191929295*(8350/2783.333)</f>
        <v>1.3248277344498891</v>
      </c>
      <c r="AO83" s="2">
        <f>0.141330048697105*(8350/2783.333)</f>
        <v>0.42399019686858558</v>
      </c>
      <c r="AP83" s="2">
        <f>0.167418436980611*(8350/2783.333)</f>
        <v>0.50225537109217688</v>
      </c>
      <c r="AQ83" s="2">
        <f>0.140258705074979*(8350/2783.333)</f>
        <v>0.4207761656172907</v>
      </c>
      <c r="AR83" s="2">
        <f>0.137369006357661*(8350/2783.333)</f>
        <v>0.41210706842712236</v>
      </c>
      <c r="AS83" s="2">
        <f>0.122034524283886*(8350/2783.333)</f>
        <v>0.36610361669640223</v>
      </c>
      <c r="AT83" s="2">
        <f>0.118863953182711*(8350/2783.333)</f>
        <v>0.35659190225375037</v>
      </c>
      <c r="AU83" s="2">
        <f>0.102835235290222*(8350/2783.333)</f>
        <v>0.30850574281746068</v>
      </c>
      <c r="AV83" s="2">
        <f>0.0807005705050902*(8350/2783.333)</f>
        <v>0.2421017405094909</v>
      </c>
      <c r="AW83" s="2">
        <f>0.0728983460169023*(8350/2783.333)</f>
        <v>0.21869506424173257</v>
      </c>
    </row>
    <row r="84" spans="1:49" x14ac:dyDescent="0.25">
      <c r="A84" s="5">
        <v>45706</v>
      </c>
      <c r="B84" s="2">
        <f>0.213867637663052*(8350/2783.333)</f>
        <v>0.64160298982783703</v>
      </c>
      <c r="C84" s="2">
        <f>0.217701521514894*(8350/2783.333)</f>
        <v>0.65310464276080815</v>
      </c>
      <c r="D84" s="2">
        <f>0.179566551065622*(8350/2783.333)</f>
        <v>0.53869971771180369</v>
      </c>
      <c r="E84" s="2">
        <f>0.198749926420431*(8350/2783.333)</f>
        <v>0.59624985066846226</v>
      </c>
      <c r="F84" s="2">
        <f>0.150762561347136*(8350/2783.333)</f>
        <v>0.45228773820760387</v>
      </c>
      <c r="G84" s="2">
        <f>0.212736660509159*(8350/2783.333)</f>
        <v>0.63821005795981844</v>
      </c>
      <c r="H84" s="2">
        <f>0.193864088486172*(8350/2783.333)</f>
        <v>0.58159233511029118</v>
      </c>
      <c r="I84" s="2">
        <f>0.504198089720576*(8350/2783.333)</f>
        <v>1.5125944503107633</v>
      </c>
      <c r="J84" s="2">
        <f>0.217069471018796*(8350/2783.333)</f>
        <v>0.65120849104542977</v>
      </c>
      <c r="K84" s="2">
        <f>0.234653463327231*(8350/2783.333)</f>
        <v>0.70396047428833541</v>
      </c>
      <c r="L84" s="2">
        <f>0.242143323916109*(8350/2783.333)</f>
        <v>0.72643005874594024</v>
      </c>
      <c r="M84" s="2">
        <f>0.33526056892635*(8350/2783.333)</f>
        <v>1.0057818272319647</v>
      </c>
      <c r="N84" s="2">
        <f>0.23954970345397*(8350/2783.333)</f>
        <v>0.71864919642768232</v>
      </c>
      <c r="O84" s="2">
        <f>0.289200593365726*(8350/2783.333)</f>
        <v>0.86760188400159577</v>
      </c>
      <c r="P84" s="2">
        <f>0.334077664150255*(8350/2783.333)</f>
        <v>1.002233112478683</v>
      </c>
      <c r="Q84" s="2">
        <f>0.582028738765959*(8350/2783.333)</f>
        <v>1.746086425410025</v>
      </c>
      <c r="R84" s="2">
        <f>0.542270192550981*(8350/2783.333)</f>
        <v>1.6268107724805809</v>
      </c>
      <c r="S84" s="2">
        <f>0.260860223599346*(8350/2783.333)</f>
        <v>0.78258076452028547</v>
      </c>
      <c r="T84" s="2">
        <f t="shared" si="16"/>
        <v>0.10069243236843764</v>
      </c>
      <c r="U84" s="2">
        <f t="shared" si="17"/>
        <v>0.11437794326585224</v>
      </c>
      <c r="V84" s="2">
        <f t="shared" si="18"/>
        <v>0.11043877033537902</v>
      </c>
      <c r="W84" s="2">
        <f t="shared" si="19"/>
        <v>0.10705744606724045</v>
      </c>
      <c r="X84" s="2">
        <f t="shared" si="20"/>
        <v>0.11728533803050227</v>
      </c>
      <c r="Y84" s="2">
        <f t="shared" si="21"/>
        <v>0.10928020503416074</v>
      </c>
      <c r="Z84" s="2">
        <f t="shared" si="22"/>
        <v>0.10579568013572224</v>
      </c>
      <c r="AA84" s="2">
        <f t="shared" si="23"/>
        <v>0.11798772791544039</v>
      </c>
      <c r="AB84" s="2">
        <f t="shared" si="24"/>
        <v>0.10026757173055721</v>
      </c>
      <c r="AC84" s="2">
        <f t="shared" si="25"/>
        <v>0.1151901624778385</v>
      </c>
      <c r="AD84" s="2">
        <f t="shared" si="26"/>
        <v>0.10227444344259566</v>
      </c>
      <c r="AE84" s="2">
        <f t="shared" si="27"/>
        <v>0.10987695088187602</v>
      </c>
      <c r="AF84" s="2">
        <f t="shared" si="28"/>
        <v>0.11908712371493149</v>
      </c>
      <c r="AG84" s="2">
        <f t="shared" si="29"/>
        <v>9.9235315312320327E-2</v>
      </c>
      <c r="AH84" s="2">
        <f t="shared" si="30"/>
        <v>0.1199891551819615</v>
      </c>
      <c r="AI84" s="2">
        <f t="shared" si="31"/>
        <v>0.10099811712417744</v>
      </c>
      <c r="AJ84" s="2">
        <f>0.189653560511629*(8350/2783.333)</f>
        <v>0.56896074967389809</v>
      </c>
      <c r="AK84" s="2">
        <f>0.464951939784772*(8350/2783.333)</f>
        <v>1.3948559864029368</v>
      </c>
      <c r="AL84" s="2">
        <f>0.298066480108884*(8350/2783.333)</f>
        <v>0.8941995474164196</v>
      </c>
      <c r="AM84" s="2">
        <f>0.343050468280686*(8350/2783.333)</f>
        <v>1.0291515280937387</v>
      </c>
      <c r="AN84" s="2">
        <f>0.240990670138631*(8350/2783.333)</f>
        <v>0.72297209699937703</v>
      </c>
      <c r="AO84" s="2">
        <f>0.212965131458046*(8350/2783.333)</f>
        <v>0.63889547088856558</v>
      </c>
      <c r="AP84" s="2">
        <f>0.183910402414522*(8350/2783.333)</f>
        <v>0.5517312733191676</v>
      </c>
      <c r="AQ84" s="2">
        <f>0.168716993061206*(8350/2783.333)</f>
        <v>0.50615103980050902</v>
      </c>
      <c r="AR84" s="2">
        <f>0.128711982175787*(8350/2783.333)</f>
        <v>0.38613599277119215</v>
      </c>
      <c r="AS84" s="2">
        <f>0.124124707176759*(8350/2783.333)</f>
        <v>0.3723741661259849</v>
      </c>
      <c r="AT84" s="2">
        <f>0.121323207386491*(8350/2783.333)</f>
        <v>0.36396966574865569</v>
      </c>
      <c r="AU84" s="2">
        <f>0.107811133772007*(8350/2783.333)</f>
        <v>0.32343344005056351</v>
      </c>
      <c r="AV84" s="2">
        <f>0.0946411680971403*(8350/2783.333)</f>
        <v>0.28392353829423983</v>
      </c>
      <c r="AW84" s="2">
        <f>0.0917058084221159*(8350/2783.333)</f>
        <v>0.2751174582145462</v>
      </c>
    </row>
    <row r="85" spans="1:49" x14ac:dyDescent="0.25">
      <c r="A85" s="5">
        <v>45707</v>
      </c>
      <c r="B85" s="2">
        <f>0.259629708604054*(8350/2783.333)</f>
        <v>0.7788892190923089</v>
      </c>
      <c r="C85" s="2">
        <f>0.269603871015134*(8350/2783.333)</f>
        <v>0.80881170990908013</v>
      </c>
      <c r="D85" s="2">
        <f>0.206951428134454*(8350/2783.333)</f>
        <v>0.62085435875717654</v>
      </c>
      <c r="E85" s="2">
        <f>0.206162511088793*(8350/2783.333)</f>
        <v>0.61848760733675023</v>
      </c>
      <c r="F85" s="2">
        <f>0.180446381716002*(8350/2783.333)</f>
        <v>0.54133920997904905</v>
      </c>
      <c r="G85" s="2">
        <f>0.211789058457893*(8350/2783.333)</f>
        <v>0.63536725146556505</v>
      </c>
      <c r="H85" s="2">
        <f>0.220603962760126*(8350/2783.333)</f>
        <v>0.6618119675392965</v>
      </c>
      <c r="I85" s="2">
        <f>0.207364279044045*(8350/2783.333)</f>
        <v>0.62209291163427893</v>
      </c>
      <c r="J85" s="2">
        <f>0.181815487586911*(8350/2783.333)</f>
        <v>0.54544652808367167</v>
      </c>
      <c r="K85" s="2">
        <f>0.195893739474072*(8350/2783.333)</f>
        <v>0.58768128880320858</v>
      </c>
      <c r="L85" s="2">
        <f>0.241727270094948*(8350/2783.333)</f>
        <v>0.72518189713297476</v>
      </c>
      <c r="M85" s="2">
        <f>0.246268933022116*(8350/2783.333)</f>
        <v>0.7388068875462136</v>
      </c>
      <c r="N85" s="2">
        <f>0.185572220932269*(8350/2783.333)</f>
        <v>0.55671672946947071</v>
      </c>
      <c r="O85" s="2">
        <f>0.339529008315086*(8350/2783.333)</f>
        <v>1.018587146931744</v>
      </c>
      <c r="P85" s="2">
        <f>0.669879600115479*(8350/2783.333)</f>
        <v>2.0096390410217717</v>
      </c>
      <c r="Q85" s="2">
        <f>0.558917386902481*(8350/2783.333)</f>
        <v>1.6767523615161102</v>
      </c>
      <c r="R85" s="2">
        <f>0.591770491527838*(8350/2783.333)</f>
        <v>1.7753116871956924</v>
      </c>
      <c r="S85" s="2">
        <f>0.198611239350004*(8350/2783.333)</f>
        <v>0.59583378940735265</v>
      </c>
      <c r="T85" s="2">
        <f t="shared" si="16"/>
        <v>0.10069243236843764</v>
      </c>
      <c r="U85" s="2">
        <f t="shared" si="17"/>
        <v>0.11437794326585224</v>
      </c>
      <c r="V85" s="2">
        <f t="shared" si="18"/>
        <v>0.11043877033537902</v>
      </c>
      <c r="W85" s="2">
        <f t="shared" si="19"/>
        <v>0.10705744606724045</v>
      </c>
      <c r="X85" s="2">
        <f t="shared" si="20"/>
        <v>0.11728533803050227</v>
      </c>
      <c r="Y85" s="2">
        <f t="shared" si="21"/>
        <v>0.10928020503416074</v>
      </c>
      <c r="Z85" s="2">
        <f t="shared" si="22"/>
        <v>0.10579568013572224</v>
      </c>
      <c r="AA85" s="2">
        <f t="shared" si="23"/>
        <v>0.11798772791544039</v>
      </c>
      <c r="AB85" s="2">
        <f t="shared" si="24"/>
        <v>0.10026757173055721</v>
      </c>
      <c r="AC85" s="2">
        <f t="shared" si="25"/>
        <v>0.1151901624778385</v>
      </c>
      <c r="AD85" s="2">
        <f t="shared" si="26"/>
        <v>0.10227444344259566</v>
      </c>
      <c r="AE85" s="2">
        <f t="shared" si="27"/>
        <v>0.10987695088187602</v>
      </c>
      <c r="AF85" s="2">
        <f t="shared" si="28"/>
        <v>0.11908712371493149</v>
      </c>
      <c r="AG85" s="2">
        <f t="shared" si="29"/>
        <v>9.9235315312320327E-2</v>
      </c>
      <c r="AH85" s="2">
        <f t="shared" si="30"/>
        <v>0.1199891551819615</v>
      </c>
      <c r="AI85" s="2">
        <f t="shared" si="31"/>
        <v>0.10099811712417744</v>
      </c>
      <c r="AJ85" s="2">
        <f>0.140686254320377*(8350/2783.333)</f>
        <v>0.42205881350709606</v>
      </c>
      <c r="AK85" s="2">
        <f>0.287185015031471*(8350/2783.333)</f>
        <v>0.86155514827467017</v>
      </c>
      <c r="AL85" s="2">
        <f>0.24259219788997*(8350/2783.333)</f>
        <v>0.72777668082879299</v>
      </c>
      <c r="AM85" s="2">
        <f>0.254148179294651*(8350/2783.333)</f>
        <v>0.7624446291946877</v>
      </c>
      <c r="AN85" s="2">
        <f>0.318629416961643*(8350/2783.333)</f>
        <v>0.95588836536257871</v>
      </c>
      <c r="AO85" s="2">
        <f>0.13103250555022*(8350/2783.333)</f>
        <v>0.39309756372821369</v>
      </c>
      <c r="AP85" s="2">
        <f>0.245547040904896*(8350/2783.333)</f>
        <v>0.73664121093519319</v>
      </c>
      <c r="AQ85" s="2">
        <f>0.165667890776967*(8350/2783.333)</f>
        <v>0.49700373185230695</v>
      </c>
      <c r="AR85" s="2">
        <f>0.128058621860174*(8350/2783.333)</f>
        <v>0.38417591158961228</v>
      </c>
      <c r="AS85" s="2">
        <f>0.2329750009056*(8350/2783.333)</f>
        <v>0.69892508642040374</v>
      </c>
      <c r="AT85" s="2">
        <f>0.14722735166631*(8350/2783.333)</f>
        <v>0.44168210789498996</v>
      </c>
      <c r="AU85" s="2">
        <f>0.191903818114172*(8350/2783.333)</f>
        <v>0.57571152329000319</v>
      </c>
      <c r="AV85" s="2">
        <f>0.0892198245891208*(8350/2783.333)</f>
        <v>0.26765950582239306</v>
      </c>
      <c r="AW85" s="2">
        <f>0.094814479894052*(8350/2783.333)</f>
        <v>0.28444347374724271</v>
      </c>
    </row>
    <row r="86" spans="1:49" x14ac:dyDescent="0.25">
      <c r="A86" s="5">
        <v>45708</v>
      </c>
      <c r="B86" s="2">
        <f>0.238149552856237*(8350/2783.333)</f>
        <v>0.71444874413143422</v>
      </c>
      <c r="C86" s="2">
        <f>0.224429603857518*(8350/2783.333)</f>
        <v>0.67328889220595456</v>
      </c>
      <c r="D86" s="2">
        <f>0.181131401183841*(8350/2783.333)</f>
        <v>0.54339426862868179</v>
      </c>
      <c r="E86" s="2">
        <f>0.302526111777487*(8350/2783.333)</f>
        <v>0.90757844402448928</v>
      </c>
      <c r="F86" s="2">
        <f>0.259733428227579*(8350/2783.333)</f>
        <v>0.77920037800014685</v>
      </c>
      <c r="G86" s="2">
        <f>0.325501304609782*(8350/2783.333)</f>
        <v>0.97650403077593617</v>
      </c>
      <c r="H86" s="2">
        <f>0.320878491287456*(8350/2783.333)</f>
        <v>0.96263558914806824</v>
      </c>
      <c r="I86" s="2">
        <f>0.267010633465702*(8350/2783.333)</f>
        <v>0.80103199632908184</v>
      </c>
      <c r="J86" s="2">
        <f>0.184588272800655*(8350/2783.333)</f>
        <v>0.55376488472111352</v>
      </c>
      <c r="K86" s="2">
        <f>0.233082123171022*(8350/2783.333)</f>
        <v>0.699246453255155</v>
      </c>
      <c r="L86" s="2">
        <f>0.230909870744744*(8350/2783.333)</f>
        <v>0.69272969519587091</v>
      </c>
      <c r="M86" s="2">
        <f>0.302219119952006*(8350/2783.333)</f>
        <v>0.90665746843775008</v>
      </c>
      <c r="N86" s="2">
        <f>0.25176358636034*(8350/2783.333)</f>
        <v>0.75529084953501446</v>
      </c>
      <c r="O86" s="2">
        <f>0.475866430901786*(8350/2783.333)</f>
        <v>1.4275994636753542</v>
      </c>
      <c r="P86" s="2">
        <f>0.487537855682501*(8350/2783.333)</f>
        <v>1.4626137422108261</v>
      </c>
      <c r="Q86" s="2">
        <f>0.596178546029313*(8350/2783.333)</f>
        <v>1.7885358522838506</v>
      </c>
      <c r="R86" s="2">
        <f>0.594003587722283*(8350/2783.333)</f>
        <v>1.7820109765813366</v>
      </c>
      <c r="S86" s="2">
        <f>0.159474501727893*(8350/2783.333)</f>
        <v>0.4784235624799143</v>
      </c>
      <c r="T86" s="2">
        <f t="shared" si="16"/>
        <v>0.10069243236843764</v>
      </c>
      <c r="U86" s="2">
        <f t="shared" si="17"/>
        <v>0.11437794326585224</v>
      </c>
      <c r="V86" s="2">
        <f t="shared" si="18"/>
        <v>0.11043877033537902</v>
      </c>
      <c r="W86" s="2">
        <f t="shared" si="19"/>
        <v>0.10705744606724045</v>
      </c>
      <c r="X86" s="2">
        <f t="shared" si="20"/>
        <v>0.11728533803050227</v>
      </c>
      <c r="Y86" s="2">
        <f t="shared" si="21"/>
        <v>0.10928020503416074</v>
      </c>
      <c r="Z86" s="2">
        <f t="shared" si="22"/>
        <v>0.10579568013572224</v>
      </c>
      <c r="AA86" s="2">
        <f t="shared" si="23"/>
        <v>0.11798772791544039</v>
      </c>
      <c r="AB86" s="2">
        <f t="shared" si="24"/>
        <v>0.10026757173055721</v>
      </c>
      <c r="AC86" s="2">
        <f t="shared" si="25"/>
        <v>0.1151901624778385</v>
      </c>
      <c r="AD86" s="2">
        <f t="shared" si="26"/>
        <v>0.10227444344259566</v>
      </c>
      <c r="AE86" s="2">
        <f t="shared" si="27"/>
        <v>0.10987695088187602</v>
      </c>
      <c r="AF86" s="2">
        <f t="shared" si="28"/>
        <v>0.11908712371493149</v>
      </c>
      <c r="AG86" s="2">
        <f t="shared" si="29"/>
        <v>9.9235315312320327E-2</v>
      </c>
      <c r="AH86" s="2">
        <f t="shared" si="30"/>
        <v>0.1199891551819615</v>
      </c>
      <c r="AI86" s="2">
        <f t="shared" si="31"/>
        <v>0.10099811712417744</v>
      </c>
      <c r="AJ86" s="2">
        <f>0.194353209093452*(8350/2783.333)</f>
        <v>0.58305969710786365</v>
      </c>
      <c r="AK86" s="2">
        <f>0.415788743057046*(8350/2783.333)</f>
        <v>1.2473663785563336</v>
      </c>
      <c r="AL86" s="2">
        <f>0.4302849765892*(8350/2783.333)</f>
        <v>1.2908550843610223</v>
      </c>
      <c r="AM86" s="2">
        <f>0.363210466898338*(8350/2783.333)</f>
        <v>1.0896315311898068</v>
      </c>
      <c r="AN86" s="2">
        <f>0.304654442533501*(8350/2783.333)</f>
        <v>0.91396343705720273</v>
      </c>
      <c r="AO86" s="2">
        <f>0.142822446254625*(8350/2783.333)</f>
        <v>0.42846739007733514</v>
      </c>
      <c r="AP86" s="2">
        <f>0.142264025056161*(8350/2783.333)</f>
        <v>0.42679212628131252</v>
      </c>
      <c r="AQ86" s="2">
        <f>0.150591773927121*(8350/2783.333)</f>
        <v>0.45177537588619721</v>
      </c>
      <c r="AR86" s="2">
        <f>0.233249632673888*(8350/2783.333)</f>
        <v>0.69974898182393663</v>
      </c>
      <c r="AS86" s="2">
        <f>0.117211025300333*(8350/2783.333)</f>
        <v>0.35163311801274999</v>
      </c>
      <c r="AT86" s="2">
        <f>0.201003043588971*(8350/2783.333)</f>
        <v>0.60300920298358374</v>
      </c>
      <c r="AU86" s="2">
        <f>0.104991457965662*(8350/2783.333)</f>
        <v>0.31497441161847212</v>
      </c>
      <c r="AV86" s="2">
        <f>0.0864317050707108*(8350/2783.333)</f>
        <v>0.25929514626544325</v>
      </c>
      <c r="AW86" s="2">
        <f>0.0752298496208544*(8350/2783.333)</f>
        <v>0.22568957589125491</v>
      </c>
    </row>
    <row r="87" spans="1:49" x14ac:dyDescent="0.25">
      <c r="A87" s="5">
        <v>45709</v>
      </c>
      <c r="B87" s="2">
        <f>0.216669397108419*(8350/2783.333)</f>
        <v>0.65000826917055954</v>
      </c>
      <c r="C87" s="2">
        <f>0.222026717306581*(8350/2783.333)</f>
        <v>0.66608023168983066</v>
      </c>
      <c r="D87" s="2">
        <f>0.158441074469667*(8350/2783.333)</f>
        <v>0.47532328033394444</v>
      </c>
      <c r="E87" s="2">
        <f>0.208015657255883*(8350/2783.333)</f>
        <v>0.62404704650382192</v>
      </c>
      <c r="F87" s="2">
        <f>0.171072543704781*(8350/2783.333)</f>
        <v>0.51321769257754035</v>
      </c>
      <c r="G87" s="2">
        <f>0.199470231791438*(8350/2783.333)</f>
        <v>0.59841076704027474</v>
      </c>
      <c r="H87" s="2">
        <f>0.196729075015524*(8350/2783.333)</f>
        <v>0.59018729572768469</v>
      </c>
      <c r="I87" s="2">
        <f>0.205034343324448*(8350/2783.333)</f>
        <v>0.61510310363838749</v>
      </c>
      <c r="J87" s="2">
        <f>0.164782664131057*(8350/2783.333)</f>
        <v>0.49434805159653022</v>
      </c>
      <c r="K87" s="2">
        <f>0.213702261244442*(8350/2783.333)</f>
        <v>0.64110686051259136</v>
      </c>
      <c r="L87" s="2">
        <f>0.215931933182922*(8350/2783.333)</f>
        <v>0.64779587712911169</v>
      </c>
      <c r="M87" s="2">
        <f>0.296051382810128*(8350/2783.333)</f>
        <v>0.88815425479616361</v>
      </c>
      <c r="N87" s="2">
        <f>0.388480275667129*(8350/2783.333)</f>
        <v>1.1654409665751562</v>
      </c>
      <c r="O87" s="2">
        <f>0.315867141585163*(8350/2783.333)</f>
        <v>0.94760153824070426</v>
      </c>
      <c r="P87" s="2">
        <f>0.541421349900284*(8350/2783.333)</f>
        <v>1.6242642442235162</v>
      </c>
      <c r="Q87" s="2">
        <f>0.466943639690681*(8350/2783.333)</f>
        <v>1.4008310868362437</v>
      </c>
      <c r="R87" s="2">
        <f>1.19880047371771*(8350/2783.333)</f>
        <v>3.5964018518599534</v>
      </c>
      <c r="S87" s="2">
        <f>0.323417371137051*(8350/2783.333)</f>
        <v>0.97025222960902446</v>
      </c>
      <c r="T87" s="2">
        <f t="shared" si="16"/>
        <v>0.10069243236843764</v>
      </c>
      <c r="U87" s="2">
        <f t="shared" si="17"/>
        <v>0.11437794326585224</v>
      </c>
      <c r="V87" s="2">
        <f t="shared" si="18"/>
        <v>0.11043877033537902</v>
      </c>
      <c r="W87" s="2">
        <f t="shared" si="19"/>
        <v>0.10705744606724045</v>
      </c>
      <c r="X87" s="2">
        <f t="shared" si="20"/>
        <v>0.11728533803050227</v>
      </c>
      <c r="Y87" s="2">
        <f t="shared" si="21"/>
        <v>0.10928020503416074</v>
      </c>
      <c r="Z87" s="2">
        <f t="shared" si="22"/>
        <v>0.10579568013572224</v>
      </c>
      <c r="AA87" s="2">
        <f t="shared" si="23"/>
        <v>0.11798772791544039</v>
      </c>
      <c r="AB87" s="2">
        <f t="shared" si="24"/>
        <v>0.10026757173055721</v>
      </c>
      <c r="AC87" s="2">
        <f t="shared" si="25"/>
        <v>0.1151901624778385</v>
      </c>
      <c r="AD87" s="2">
        <f t="shared" si="26"/>
        <v>0.10227444344259566</v>
      </c>
      <c r="AE87" s="2">
        <f t="shared" si="27"/>
        <v>0.10987695088187602</v>
      </c>
      <c r="AF87" s="2">
        <f t="shared" si="28"/>
        <v>0.11908712371493149</v>
      </c>
      <c r="AG87" s="2">
        <f t="shared" si="29"/>
        <v>9.9235315312320327E-2</v>
      </c>
      <c r="AH87" s="2">
        <f t="shared" si="30"/>
        <v>0.1199891551819615</v>
      </c>
      <c r="AI87" s="2">
        <f t="shared" si="31"/>
        <v>0.10099811712417744</v>
      </c>
      <c r="AJ87" s="2">
        <f>0.163426489393714*(8350/2783.333)</f>
        <v>0.49027952689725179</v>
      </c>
      <c r="AK87" s="2">
        <f>0.352236318018767*(8350/2783.333)</f>
        <v>1.0567090806082855</v>
      </c>
      <c r="AL87" s="2">
        <f>0.396942920955033*(8350/2783.333)</f>
        <v>1.1908289054793404</v>
      </c>
      <c r="AM87" s="2">
        <f>0.293146209407484*(8350/2783.333)</f>
        <v>0.87943873354445745</v>
      </c>
      <c r="AN87" s="2">
        <f>0.380429859432761*(8350/2783.333)</f>
        <v>1.1412897149796872</v>
      </c>
      <c r="AO87" s="2">
        <f>0.225202791429707*(8350/2783.333)</f>
        <v>0.67560845520031265</v>
      </c>
      <c r="AP87" s="2">
        <f>0.182910889357921*(8350/2783.333)</f>
        <v>0.548732733790259</v>
      </c>
      <c r="AQ87" s="2">
        <f>0.246638495880638*(8350/2783.333)</f>
        <v>0.73991557625455928</v>
      </c>
      <c r="AR87" s="2">
        <f>0.144392629750502*(8350/2783.333)</f>
        <v>0.43317794112910368</v>
      </c>
      <c r="AS87" s="2">
        <f>0.127661939764698*(8350/2783.333)</f>
        <v>0.38298586516066319</v>
      </c>
      <c r="AT87" s="2">
        <f>0.12443826271128*(8350/2783.333)</f>
        <v>0.37331483284220202</v>
      </c>
      <c r="AU87" s="2">
        <f>0.119089836997386*(8350/2783.333)</f>
        <v>0.35726955377893033</v>
      </c>
      <c r="AV87" s="2">
        <f>0.0940215859819381*(8350/2783.333)</f>
        <v>0.28206479172602883</v>
      </c>
      <c r="AW87" s="2">
        <f>0.0898406055389542*(8350/2783.333)</f>
        <v>0.26952184889492836</v>
      </c>
    </row>
    <row r="88" spans="1:49" x14ac:dyDescent="0.25">
      <c r="A88" s="5">
        <v>45710</v>
      </c>
      <c r="B88" s="2">
        <f>0.208731078679878*(8350/2783.333)</f>
        <v>0.62619331103284548</v>
      </c>
      <c r="C88" s="2">
        <f>0.274409644117008*(8350/2783.333)</f>
        <v>0.82322903094132738</v>
      </c>
      <c r="D88" s="2">
        <f>0.202256877779797*(8350/2783.333)</f>
        <v>0.60677070600654148</v>
      </c>
      <c r="E88" s="2">
        <f>0.216354815007789*(8350/2783.333)</f>
        <v>0.64906452275564575</v>
      </c>
      <c r="F88" s="2">
        <f>0.170291390537179*(8350/2783.333)</f>
        <v>0.51087423279408106</v>
      </c>
      <c r="G88" s="2">
        <f>0.215579466662956*(8350/2783.333)</f>
        <v>0.64673847744257784</v>
      </c>
      <c r="H88" s="2">
        <f>0.207234025623149*(8350/2783.333)</f>
        <v>0.62170215132479356</v>
      </c>
      <c r="I88" s="2">
        <f>0.208762240475802*(8350/2783.333)</f>
        <v>0.62628679643181329</v>
      </c>
      <c r="J88" s="2">
        <f>0.154087635449474*(8350/2783.333)</f>
        <v>0.46226296170925568</v>
      </c>
      <c r="K88" s="2">
        <f>0.228891882754464*(8350/2783.333)</f>
        <v>0.68667573050000574</v>
      </c>
      <c r="L88" s="2">
        <f>0.212187448792467*(8350/2783.333)</f>
        <v>0.63656242261242191</v>
      </c>
      <c r="M88" s="2">
        <f>0.297373040769102*(8350/2783.333)</f>
        <v>0.89211922914793218</v>
      </c>
      <c r="N88" s="2">
        <f>0.329380842249209*(8350/2783.333)</f>
        <v>0.98814264508806304</v>
      </c>
      <c r="O88" s="2">
        <f>0.463096534571352*(8350/2783.333)</f>
        <v>1.3892897700960629</v>
      </c>
      <c r="P88" s="2">
        <f>0.4987456224798*(8350/2783.333)</f>
        <v>1.4962370466294654</v>
      </c>
      <c r="Q88" s="2">
        <f>0.385818078047451*(8350/2783.333)</f>
        <v>1.1574543727596438</v>
      </c>
      <c r="R88" s="2">
        <f>0.239313475504654*(8350/2783.333)</f>
        <v>0.71794051249486202</v>
      </c>
      <c r="S88" s="2">
        <f>0.0180275523692401*(8350/2783.333)</f>
        <v>5.4082663584685962E-2</v>
      </c>
      <c r="T88" s="2">
        <f t="shared" si="16"/>
        <v>0.10069243236843764</v>
      </c>
      <c r="U88" s="2">
        <f t="shared" si="17"/>
        <v>0.11437794326585224</v>
      </c>
      <c r="V88" s="2">
        <f t="shared" si="18"/>
        <v>0.11043877033537902</v>
      </c>
      <c r="W88" s="2">
        <f t="shared" si="19"/>
        <v>0.10705744606724045</v>
      </c>
      <c r="X88" s="2">
        <f t="shared" si="20"/>
        <v>0.11728533803050227</v>
      </c>
      <c r="Y88" s="2">
        <f t="shared" si="21"/>
        <v>0.10928020503416074</v>
      </c>
      <c r="Z88" s="2">
        <f t="shared" si="22"/>
        <v>0.10579568013572224</v>
      </c>
      <c r="AA88" s="2">
        <f t="shared" si="23"/>
        <v>0.11798772791544039</v>
      </c>
      <c r="AB88" s="2">
        <f t="shared" si="24"/>
        <v>0.10026757173055721</v>
      </c>
      <c r="AC88" s="2">
        <f t="shared" si="25"/>
        <v>0.1151901624778385</v>
      </c>
      <c r="AD88" s="2">
        <f t="shared" si="26"/>
        <v>0.10227444344259566</v>
      </c>
      <c r="AE88" s="2">
        <f t="shared" si="27"/>
        <v>0.10987695088187602</v>
      </c>
      <c r="AF88" s="2">
        <f t="shared" si="28"/>
        <v>0.11908712371493149</v>
      </c>
      <c r="AG88" s="2">
        <f t="shared" si="29"/>
        <v>9.9235315312320327E-2</v>
      </c>
      <c r="AH88" s="2">
        <f t="shared" si="30"/>
        <v>0.1199891551819615</v>
      </c>
      <c r="AI88" s="2">
        <f t="shared" si="31"/>
        <v>0.10099811712417744</v>
      </c>
      <c r="AJ88" s="2">
        <f>0.0836840650698793*(8350/2783.333)</f>
        <v>0.25105222527577276</v>
      </c>
      <c r="AK88" s="2">
        <f>0.273695113490327*(8350/2783.333)</f>
        <v>0.82108543880456597</v>
      </c>
      <c r="AL88" s="2">
        <f>0.426260935391973*(8350/2783.333)</f>
        <v>1.2787829593235782</v>
      </c>
      <c r="AM88" s="2">
        <f>0.292154734065633*(8350/2783.333)</f>
        <v>0.87646430716268298</v>
      </c>
      <c r="AN88" s="2">
        <f>0.290679468105359*(8350/2783.333)</f>
        <v>0.87203850875182587</v>
      </c>
      <c r="AO88" s="2">
        <f>0.133420341642252*(8350/2783.333)</f>
        <v>0.40026107286221291</v>
      </c>
      <c r="AP88" s="2">
        <f>0.138432558339192*(8350/2783.333)</f>
        <v>0.41529772475382987</v>
      </c>
      <c r="AQ88" s="2">
        <f>0.307451146994065*(8350/2783.333)</f>
        <v>0.92235355144369879</v>
      </c>
      <c r="AR88" s="2">
        <f>0.233739652910598*(8350/2783.333)</f>
        <v>0.70121904271012125</v>
      </c>
      <c r="AS88" s="2">
        <f>0.208375156089481*(8350/2783.333)</f>
        <v>0.62512554313377777</v>
      </c>
      <c r="AT88" s="2">
        <f>0.165589783054535*(8350/2783.333)</f>
        <v>0.49676940865694852</v>
      </c>
      <c r="AU88" s="2">
        <f>0.113118758819244*(8350/2783.333)</f>
        <v>0.33935631709920677</v>
      </c>
      <c r="AV88" s="2">
        <f>0.0910785709347275*(8350/2783.333)</f>
        <v>0.27323574552702617</v>
      </c>
      <c r="AW88" s="2">
        <f>0.0794265561079682*(8350/2783.333)</f>
        <v>0.23827969686039516</v>
      </c>
    </row>
    <row r="89" spans="1:49" x14ac:dyDescent="0.25">
      <c r="A89" s="5">
        <v>45711</v>
      </c>
      <c r="B89" s="2">
        <f>0.243753071746972*(8350/2783.333)</f>
        <v>0.73125930281687979</v>
      </c>
      <c r="C89" s="2">
        <f>0.243172118954827*(8350/2783.333)</f>
        <v>0.72951644423171924</v>
      </c>
      <c r="D89" s="2">
        <f>0.197953539954695*(8350/2783.333)</f>
        <v>0.59386069098512551</v>
      </c>
      <c r="E89" s="2">
        <f>0.23627613630401*(8350/2783.333)</f>
        <v>0.70882849380166879</v>
      </c>
      <c r="F89" s="2">
        <f>0.168729084201976*(8350/2783.333)</f>
        <v>0.50618731322716282</v>
      </c>
      <c r="G89" s="2">
        <f>0.230267298457575*(8350/2783.333)</f>
        <v>0.69080197810350019</v>
      </c>
      <c r="H89" s="2">
        <f>0.237316384181348*(8350/2783.333)</f>
        <v>0.71194923780742514</v>
      </c>
      <c r="I89" s="2">
        <f>0.23345955910352*(8350/2783.333)</f>
        <v>0.70037876118825526</v>
      </c>
      <c r="J89" s="2">
        <f>0.19171829192171*(8350/2783.333)</f>
        <v>0.57515494464596284</v>
      </c>
      <c r="K89" s="2">
        <f>0.258223565670368*(8350/2783.333)</f>
        <v>0.77467078978604764</v>
      </c>
      <c r="L89" s="2">
        <f>0.255873100014446*(8350/2783.333)</f>
        <v>0.7676193919738028</v>
      </c>
      <c r="M89" s="2">
        <f>0.329973937090455*(8350/2783.333)</f>
        <v>0.98992192982489013</v>
      </c>
      <c r="N89" s="2">
        <f>0.253339571251485*(8350/2783.333)</f>
        <v>0.76001880477467054</v>
      </c>
      <c r="O89" s="2">
        <f>0.410514608504856*(8350/2783.333)</f>
        <v>1.2315439730048634</v>
      </c>
      <c r="P89" s="2">
        <f>0.4263262062511*(8350/2783.333)</f>
        <v>1.2789787719244095</v>
      </c>
      <c r="Q89" s="2">
        <f>0.77871105972658*(8350/2783.333)</f>
        <v>2.3361334589562008</v>
      </c>
      <c r="R89" s="2">
        <f>0.316727476912069*(8350/2783.333)</f>
        <v>0.95018254453052486</v>
      </c>
      <c r="S89" s="2">
        <f>0.0773489853791327*(8350/2783.333)</f>
        <v>0.23204698392745612</v>
      </c>
      <c r="T89" s="2">
        <f t="shared" si="16"/>
        <v>0.10069243236843764</v>
      </c>
      <c r="U89" s="2">
        <f t="shared" si="17"/>
        <v>0.11437794326585224</v>
      </c>
      <c r="V89" s="2">
        <f t="shared" si="18"/>
        <v>0.11043877033537902</v>
      </c>
      <c r="W89" s="2">
        <f t="shared" si="19"/>
        <v>0.10705744606724045</v>
      </c>
      <c r="X89" s="2">
        <f t="shared" si="20"/>
        <v>0.11728533803050227</v>
      </c>
      <c r="Y89" s="2">
        <f t="shared" si="21"/>
        <v>0.10928020503416074</v>
      </c>
      <c r="Z89" s="2">
        <f t="shared" si="22"/>
        <v>0.10579568013572224</v>
      </c>
      <c r="AA89" s="2">
        <f t="shared" si="23"/>
        <v>0.11798772791544039</v>
      </c>
      <c r="AB89" s="2">
        <f t="shared" si="24"/>
        <v>0.10026757173055721</v>
      </c>
      <c r="AC89" s="2">
        <f t="shared" si="25"/>
        <v>0.1151901624778385</v>
      </c>
      <c r="AD89" s="2">
        <f t="shared" si="26"/>
        <v>0.10227444344259566</v>
      </c>
      <c r="AE89" s="2">
        <f t="shared" si="27"/>
        <v>0.10987695088187602</v>
      </c>
      <c r="AF89" s="2">
        <f t="shared" si="28"/>
        <v>0.11908712371493149</v>
      </c>
      <c r="AG89" s="2">
        <f t="shared" si="29"/>
        <v>9.9235315312320327E-2</v>
      </c>
      <c r="AH89" s="2">
        <f t="shared" si="30"/>
        <v>0.1199891551819615</v>
      </c>
      <c r="AI89" s="2">
        <f t="shared" si="31"/>
        <v>0.10099811712417744</v>
      </c>
      <c r="AJ89" s="2">
        <f>0.114913987903928*(8350/2783.333)</f>
        <v>0.34474200499825286</v>
      </c>
      <c r="AK89" s="2">
        <f>0.30577110159927*(8350/2783.333)</f>
        <v>0.91731341465570304</v>
      </c>
      <c r="AL89" s="2">
        <f>0.266161582045156*(8350/2783.333)</f>
        <v>0.79848484176239598</v>
      </c>
      <c r="AM89" s="2">
        <f>0.318594076515011*(8350/2783.333)</f>
        <v>0.95578234400998463</v>
      </c>
      <c r="AN89" s="2">
        <f>0.339436601110211*(8350/2783.333)</f>
        <v>1.0183099252839165</v>
      </c>
      <c r="AO89" s="2">
        <f>0.154015427936022*(8350/2783.333)</f>
        <v>0.46204633914295723</v>
      </c>
      <c r="AP89" s="2">
        <f>0.345831517583829*(8350/2783.333)</f>
        <v>1.0374946770023477</v>
      </c>
      <c r="AQ89" s="2">
        <f>0.313210562419849*(8350/2783.333)</f>
        <v>0.93963179979030198</v>
      </c>
      <c r="AR89" s="2">
        <f>0.11891157744159*(8350/2783.333)</f>
        <v>0.35673477504749723</v>
      </c>
      <c r="AS89" s="2">
        <f>0.136344237935093*(8350/2783.333)</f>
        <v>0.40903276279123713</v>
      </c>
      <c r="AT89" s="2">
        <f>0.12689751691506*(8350/2783.333)</f>
        <v>0.38069259633710706</v>
      </c>
      <c r="AU89" s="2">
        <f>0.104659731400209*(8350/2783.333)</f>
        <v>0.31397923180293169</v>
      </c>
      <c r="AV89" s="2">
        <f>0.0901491977619241*(8350/2783.333)</f>
        <v>0.27044762567470959</v>
      </c>
      <c r="AW89" s="2">
        <f>0.0873536683614053*(8350/2783.333)</f>
        <v>0.26206103646877121</v>
      </c>
    </row>
    <row r="90" spans="1:49" x14ac:dyDescent="0.25">
      <c r="A90" s="5">
        <v>45712</v>
      </c>
      <c r="B90" s="2">
        <f>0.263365387864544*(8350/2783.333)</f>
        <v>0.79009625821593921</v>
      </c>
      <c r="C90" s="2">
        <f>0.252303087848388*(8350/2783.333)</f>
        <v>0.75690935419298966</v>
      </c>
      <c r="D90" s="2">
        <f>0.210081128370892*(8350/2783.333)</f>
        <v>0.63024346059093383</v>
      </c>
      <c r="E90" s="2">
        <f>0.240909001721735*(8350/2783.333)</f>
        <v>0.72272709171934857</v>
      </c>
      <c r="F90" s="2">
        <f>0.207005589414461*(8350/2783.333)</f>
        <v>0.62101684261665846</v>
      </c>
      <c r="G90" s="2">
        <f>0.253483548713586*(8350/2783.333)</f>
        <v>0.76045073721270129</v>
      </c>
      <c r="H90" s="2">
        <f>0.582547260968298*(8350/2783.333)</f>
        <v>1.7476419922033375</v>
      </c>
      <c r="I90" s="2">
        <f>0.298231772108289*(8350/2783.333)</f>
        <v>0.89469542347401887</v>
      </c>
      <c r="J90" s="2">
        <f>0.192510516268494*(8350/2783.333)</f>
        <v>0.57753161797094676</v>
      </c>
      <c r="K90" s="2">
        <f>0.27131806697211*(8350/2783.333)</f>
        <v>0.81395429839588795</v>
      </c>
      <c r="L90" s="2">
        <f>0.268770768470458*(8350/2783.333)</f>
        <v>0.80631240197573439</v>
      </c>
      <c r="M90" s="2">
        <f>0.273583197507574*(8350/2783.333)</f>
        <v>0.82074969081609794</v>
      </c>
      <c r="N90" s="2">
        <f>0.421969954603951*(8350/2783.333)</f>
        <v>1.2659100154178415</v>
      </c>
      <c r="O90" s="2">
        <f>0.515678460637847*(8350/2783.333)</f>
        <v>1.5470355671872624</v>
      </c>
      <c r="P90" s="2">
        <f>0.541421349900284*(8350/2783.333)</f>
        <v>1.6242642442235162</v>
      </c>
      <c r="Q90" s="2">
        <f>0.730601715031176*(8350/2783.333)</f>
        <v>2.1918054075851932</v>
      </c>
      <c r="R90" s="2">
        <f>0.519194865208386*(8350/2783.333)</f>
        <v>1.5575847821622588</v>
      </c>
      <c r="S90" s="2">
        <f>0.45546534020063*(8350/2783.333)</f>
        <v>1.3663961842421519</v>
      </c>
      <c r="T90" s="2">
        <f t="shared" si="16"/>
        <v>0.10069243236843764</v>
      </c>
      <c r="U90" s="2">
        <f t="shared" si="17"/>
        <v>0.11437794326585224</v>
      </c>
      <c r="V90" s="2">
        <f t="shared" si="18"/>
        <v>0.11043877033537902</v>
      </c>
      <c r="W90" s="2">
        <f t="shared" si="19"/>
        <v>0.10705744606724045</v>
      </c>
      <c r="X90" s="2">
        <f t="shared" si="20"/>
        <v>0.11728533803050227</v>
      </c>
      <c r="Y90" s="2">
        <f t="shared" si="21"/>
        <v>0.10928020503416074</v>
      </c>
      <c r="Z90" s="2">
        <f t="shared" si="22"/>
        <v>0.10579568013572224</v>
      </c>
      <c r="AA90" s="2">
        <f t="shared" si="23"/>
        <v>0.11798772791544039</v>
      </c>
      <c r="AB90" s="2">
        <f t="shared" si="24"/>
        <v>0.10026757173055721</v>
      </c>
      <c r="AC90" s="2">
        <f t="shared" si="25"/>
        <v>0.1151901624778385</v>
      </c>
      <c r="AD90" s="2">
        <f t="shared" si="26"/>
        <v>0.10227444344259566</v>
      </c>
      <c r="AE90" s="2">
        <f t="shared" si="27"/>
        <v>0.10987695088187602</v>
      </c>
      <c r="AF90" s="2">
        <f t="shared" si="28"/>
        <v>0.11908712371493149</v>
      </c>
      <c r="AG90" s="2">
        <f t="shared" si="29"/>
        <v>9.9235315312320327E-2</v>
      </c>
      <c r="AH90" s="2">
        <f t="shared" si="30"/>
        <v>0.1199891551819615</v>
      </c>
      <c r="AI90" s="2">
        <f t="shared" si="31"/>
        <v>0.10099811712417744</v>
      </c>
      <c r="AJ90" s="2">
        <f>0.15463359849869*(8350/2783.333)</f>
        <v>0.46390085105305812</v>
      </c>
      <c r="AK90" s="2">
        <f>0.271296908771901*(8350/2783.333)</f>
        <v>0.81389082378765787</v>
      </c>
      <c r="AL90" s="2">
        <f>0.325659905461298*(8350/2783.333)</f>
        <v>0.97697983338746708</v>
      </c>
      <c r="AM90" s="2">
        <f>0.277282603937857*(8350/2783.333)</f>
        <v>0.83184791143607562</v>
      </c>
      <c r="AN90" s="2">
        <f>0.294095572965571*(8350/2783.333)</f>
        <v>0.88228682455980689</v>
      </c>
      <c r="AO90" s="2">
        <f>0.141777767964362*(8350/2783.333)</f>
        <v>0.42533335483121082</v>
      </c>
      <c r="AP90" s="2">
        <f>0.145762320754263*(8350/2783.333)</f>
        <v>0.4372870146324922</v>
      </c>
      <c r="AQ90" s="2">
        <f>0.139411732218245*(8350/2783.333)</f>
        <v>0.41823524674278995</v>
      </c>
      <c r="AR90" s="2">
        <f>0.124955160361011*(8350/2783.333)</f>
        <v>0.37486552597710887</v>
      </c>
      <c r="AS90" s="2">
        <f>0.140042253822483*(8350/2783.333)</f>
        <v>0.42012681178203726</v>
      </c>
      <c r="AT90" s="2">
        <f>0.122634809628507*(8350/2783.333)</f>
        <v>0.36790447294593842</v>
      </c>
      <c r="AU90" s="2">
        <f>0.1033328251384*(8350/2783.333)</f>
        <v>0.30999851254077093</v>
      </c>
      <c r="AV90" s="2">
        <f>0.0779124509866801*(8350/2783.333)</f>
        <v>0.23373738095254115</v>
      </c>
      <c r="AW90" s="2">
        <f>0.0826906611535011*(8350/2783.333)</f>
        <v>0.24807201316972646</v>
      </c>
    </row>
    <row r="91" spans="1:49" x14ac:dyDescent="0.25">
      <c r="A91" s="5">
        <v>45713</v>
      </c>
      <c r="B91" s="2">
        <f>0.240484352394043*(8350/2783.333)</f>
        <v>0.72145314358370338</v>
      </c>
      <c r="C91" s="2">
        <f>0.252783665158575*(8350/2783.333)</f>
        <v>0.75835108629621417</v>
      </c>
      <c r="D91" s="2">
        <f>0.182305038772506*(8350/2783.333)</f>
        <v>0.54691518181634069</v>
      </c>
      <c r="E91" s="2">
        <f>0.248321586390096*(8350/2783.333)</f>
        <v>0.74496484838763655</v>
      </c>
      <c r="F91" s="2">
        <f>0.201146940657448*(8350/2783.333)</f>
        <v>0.60344089424071479</v>
      </c>
      <c r="G91" s="2">
        <f>0.252062145636687*(8350/2783.333)</f>
        <v>0.75618652747132109</v>
      </c>
      <c r="H91" s="2">
        <f>0.246388841524297*(8350/2783.333)</f>
        <v>0.73916661309583775</v>
      </c>
      <c r="I91" s="2">
        <f>0.245575224845419*(8350/2783.333)</f>
        <v>0.73672576276688728</v>
      </c>
      <c r="J91" s="2">
        <f>0.202809432776685*(8350/2783.333)</f>
        <v>0.60842837119572935</v>
      </c>
      <c r="K91" s="2">
        <f>0.272889407128319*(8350/2783.333)</f>
        <v>0.81866831942906826</v>
      </c>
      <c r="L91" s="2">
        <f>0.249216238875858*(8350/2783.333)</f>
        <v>0.74764880616635432</v>
      </c>
      <c r="M91" s="2">
        <f>0.283275355873381*(8350/2783.333)</f>
        <v>0.84982616939573363</v>
      </c>
      <c r="N91" s="2">
        <f>0.34553468738344*(8350/2783.333)</f>
        <v>1.0366041862945348</v>
      </c>
      <c r="O91" s="2">
        <f>0.360937363927874*(8350/2783.333)</f>
        <v>1.0828122214617328</v>
      </c>
      <c r="P91" s="2">
        <f>0.549611641021387*(8350/2783.333)</f>
        <v>1.6488351205294456</v>
      </c>
      <c r="Q91" s="2">
        <f>0.575897155618506*(8350/2783.333)</f>
        <v>1.7276916737647003</v>
      </c>
      <c r="R91" s="2">
        <f>0.313750015319476*(8350/2783.333)</f>
        <v>0.94125015868299899</v>
      </c>
      <c r="S91" s="2">
        <f>0.167794910513696*(8350/2783.333)</f>
        <v>0.50338479182669271</v>
      </c>
      <c r="T91" s="2">
        <f t="shared" si="16"/>
        <v>0.10069243236843764</v>
      </c>
      <c r="U91" s="2">
        <f t="shared" si="17"/>
        <v>0.11437794326585224</v>
      </c>
      <c r="V91" s="2">
        <f t="shared" si="18"/>
        <v>0.11043877033537902</v>
      </c>
      <c r="W91" s="2">
        <f t="shared" si="19"/>
        <v>0.10705744606724045</v>
      </c>
      <c r="X91" s="2">
        <f t="shared" si="20"/>
        <v>0.11728533803050227</v>
      </c>
      <c r="Y91" s="2">
        <f t="shared" si="21"/>
        <v>0.10928020503416074</v>
      </c>
      <c r="Z91" s="2">
        <f t="shared" si="22"/>
        <v>0.10579568013572224</v>
      </c>
      <c r="AA91" s="2">
        <f t="shared" si="23"/>
        <v>0.11798772791544039</v>
      </c>
      <c r="AB91" s="2">
        <f t="shared" si="24"/>
        <v>0.10026757173055721</v>
      </c>
      <c r="AC91" s="2">
        <f t="shared" si="25"/>
        <v>0.1151901624778385</v>
      </c>
      <c r="AD91" s="2">
        <f t="shared" si="26"/>
        <v>0.10227444344259566</v>
      </c>
      <c r="AE91" s="2">
        <f t="shared" si="27"/>
        <v>0.10987695088187602</v>
      </c>
      <c r="AF91" s="2">
        <f t="shared" si="28"/>
        <v>0.11908712371493149</v>
      </c>
      <c r="AG91" s="2">
        <f t="shared" si="29"/>
        <v>9.9235315312320327E-2</v>
      </c>
      <c r="AH91" s="2">
        <f t="shared" si="30"/>
        <v>0.1199891551819615</v>
      </c>
      <c r="AI91" s="2">
        <f t="shared" si="31"/>
        <v>0.10099811712417744</v>
      </c>
      <c r="AJ91" s="2">
        <f>0.161607270587847*(8350/2783.333)</f>
        <v>0.48482186982603953</v>
      </c>
      <c r="AK91" s="2">
        <f>0.215838424658308*(8350/2783.333)</f>
        <v>0.64751535152167328</v>
      </c>
      <c r="AL91" s="2">
        <f>0.390619427645105*(8350/2783.333)</f>
        <v>1.1718584232776417</v>
      </c>
      <c r="AM91" s="2">
        <f>0.487144884629799*(8350/2783.333)</f>
        <v>1.4614348289115333</v>
      </c>
      <c r="AN91" s="2">
        <f>0.554030097329017*(8350/2783.333)</f>
        <v>1.6620904910398051</v>
      </c>
      <c r="AO91" s="2">
        <f>0.157298702562565*(8350/2783.333)</f>
        <v>0.47189616420220626</v>
      </c>
      <c r="AP91" s="2">
        <f>0.1504267150184*(8350/2783.333)</f>
        <v>0.45128019910073219</v>
      </c>
      <c r="AQ91" s="2">
        <f>0.222245677606729*(8350/2783.333)</f>
        <v>0.66673711266894331</v>
      </c>
      <c r="AR91" s="2">
        <f>0.213322143047687*(8350/2783.333)</f>
        <v>0.6399665057857572</v>
      </c>
      <c r="AS91" s="2">
        <f>0.179112595589261*(8350/2783.333)</f>
        <v>0.53733785111962062</v>
      </c>
      <c r="AT91" s="2">
        <f>0.156736467920927*(8350/2783.333)</f>
        <v>0.47020946007529002</v>
      </c>
      <c r="AU91" s="2">
        <f>0.0937127547402827*(8350/2783.333)</f>
        <v>0.2811382978901053</v>
      </c>
      <c r="AV91" s="2">
        <f>0.0751243314682701*(8350/2783.333)</f>
        <v>0.22537302139559137</v>
      </c>
      <c r="AW91" s="2">
        <f>0.0728983460169023*(8350/2783.333)</f>
        <v>0.21869506424173257</v>
      </c>
    </row>
    <row r="92" spans="1:49" x14ac:dyDescent="0.25">
      <c r="A92" s="5">
        <v>45714</v>
      </c>
      <c r="B92" s="2">
        <f>0.205929319234511*(8350/2783.333)</f>
        <v>0.61778803169012264</v>
      </c>
      <c r="C92" s="2">
        <f>0.218182098825082*(8350/2783.333)</f>
        <v>0.65454637486403244</v>
      </c>
      <c r="D92" s="2">
        <f>0.170959875415418*(8350/2783.333)</f>
        <v>0.51287968766897196</v>
      </c>
      <c r="E92" s="2">
        <f>0.20755237071411*(8350/2783.333)</f>
        <v>0.62265718671205417</v>
      </c>
      <c r="F92" s="2">
        <f>0.151934291098539*(8350/2783.333)</f>
        <v>0.45580292788279253</v>
      </c>
      <c r="G92" s="2">
        <f>0.317446687174023*(8350/2783.333)</f>
        <v>0.9523401755747849</v>
      </c>
      <c r="H92" s="2">
        <f>0.452190373882769*(8350/2783.333)</f>
        <v>1.3565712841119346</v>
      </c>
      <c r="I92" s="2">
        <f>0.235789494823116*(8350/2783.333)</f>
        <v>0.70736856918414637</v>
      </c>
      <c r="J92" s="2">
        <f>0.17151657107872*(8350/2783.333)</f>
        <v>0.51454977485888842</v>
      </c>
      <c r="K92" s="2">
        <f>0.23570102343137*(8350/2783.333)</f>
        <v>0.70710315497712228</v>
      </c>
      <c r="L92" s="2">
        <f>0.234654355135199*(8350/2783.333)</f>
        <v>0.70396314971256069</v>
      </c>
      <c r="M92" s="2">
        <f>0.333057805661394*(8350/2783.333)</f>
        <v>0.99917353664568365</v>
      </c>
      <c r="N92" s="2">
        <f>0.265947450380641*(8350/2783.333)</f>
        <v>0.79784244669191728</v>
      </c>
      <c r="O92" s="2">
        <f>0.496148030956006*(8350/2783.333)</f>
        <v>1.4884442711248167</v>
      </c>
      <c r="P92" s="2">
        <f>0.285798053331122*(8350/2783.333)</f>
        <v>0.85739426267531216</v>
      </c>
      <c r="Q92" s="2">
        <f>0.24903660783503*(8350/2783.333)</f>
        <v>0.74710991297932983</v>
      </c>
      <c r="R92" s="2">
        <f>0.644992617495436*(8350/2783.333)</f>
        <v>1.9349780842202107</v>
      </c>
      <c r="S92" s="2">
        <f>0.129428581112493*(8350/2783.333)</f>
        <v>0.38828578983877121</v>
      </c>
      <c r="T92" s="2">
        <f t="shared" si="16"/>
        <v>0.10069243236843764</v>
      </c>
      <c r="U92" s="2">
        <f t="shared" si="17"/>
        <v>0.11437794326585224</v>
      </c>
      <c r="V92" s="2">
        <f t="shared" si="18"/>
        <v>0.11043877033537902</v>
      </c>
      <c r="W92" s="2">
        <f t="shared" si="19"/>
        <v>0.10705744606724045</v>
      </c>
      <c r="X92" s="2">
        <f t="shared" si="20"/>
        <v>0.11728533803050227</v>
      </c>
      <c r="Y92" s="2">
        <f t="shared" si="21"/>
        <v>0.10928020503416074</v>
      </c>
      <c r="Z92" s="2">
        <f t="shared" si="22"/>
        <v>0.10579568013572224</v>
      </c>
      <c r="AA92" s="2">
        <f t="shared" si="23"/>
        <v>0.11798772791544039</v>
      </c>
      <c r="AB92" s="2">
        <f t="shared" si="24"/>
        <v>0.10026757173055721</v>
      </c>
      <c r="AC92" s="2">
        <f t="shared" si="25"/>
        <v>0.1151901624778385</v>
      </c>
      <c r="AD92" s="2">
        <f t="shared" si="26"/>
        <v>0.10227444344259566</v>
      </c>
      <c r="AE92" s="2">
        <f t="shared" si="27"/>
        <v>0.10987695088187602</v>
      </c>
      <c r="AF92" s="2">
        <f t="shared" si="28"/>
        <v>0.11908712371493149</v>
      </c>
      <c r="AG92" s="2">
        <f t="shared" si="29"/>
        <v>9.9235315312320327E-2</v>
      </c>
      <c r="AH92" s="2">
        <f t="shared" si="30"/>
        <v>0.1199891551819615</v>
      </c>
      <c r="AI92" s="2">
        <f t="shared" si="31"/>
        <v>0.10099811712417744</v>
      </c>
      <c r="AJ92" s="2">
        <f>0.16630691916967*(8350/2783.333)</f>
        <v>0.49892081726000492</v>
      </c>
      <c r="AK92" s="2">
        <f>0.384911857307316*(8350/2783.333)</f>
        <v>1.1547357102136504</v>
      </c>
      <c r="AL92" s="2">
        <f>0.283694904404502*(8350/2783.333)</f>
        <v>0.85108481513983203</v>
      </c>
      <c r="AM92" s="2">
        <f>0.385022924419075*(8350/2783.333)</f>
        <v>1.1550689115888306</v>
      </c>
      <c r="AN92" s="2">
        <f>0.261487299299906*(8350/2783.333)</f>
        <v>0.78446199184726262</v>
      </c>
      <c r="AO92" s="2">
        <f>0.108198822920171*(8350/2783.333)</f>
        <v>0.32459650763434506</v>
      </c>
      <c r="AP92" s="2">
        <f>0.125938645131684*(8350/2783.333)</f>
        <v>0.37781598064247335</v>
      </c>
      <c r="AQ92" s="2">
        <f>0.123149853368973*(8350/2783.333)</f>
        <v>0.36944960435237939</v>
      </c>
      <c r="AR92" s="2">
        <f>0.188331110975485*(8350/2783.333)</f>
        <v>0.56499340059033587</v>
      </c>
      <c r="AS92" s="2">
        <f>0.201943824111411*(8350/2783.333)</f>
        <v>0.60583154488890811</v>
      </c>
      <c r="AT92" s="2">
        <f>0.205593651436027*(8350/2783.333)</f>
        <v>0.61678102817407265</v>
      </c>
      <c r="AU92" s="2">
        <f>0.103664551703852*(8350/2783.333)</f>
        <v>0.31099369235631108</v>
      </c>
      <c r="AV92" s="2">
        <f>0.0621131070490233*(8350/2783.333)</f>
        <v>0.18633934346315906</v>
      </c>
      <c r="AW92" s="2">
        <f>0.0739863810320799*(8350/2783.333)</f>
        <v>0.2219591696781763</v>
      </c>
    </row>
    <row r="93" spans="1:49" x14ac:dyDescent="0.25">
      <c r="A93" s="5">
        <v>45715</v>
      </c>
      <c r="B93" s="2">
        <f>0.215735477293297*(8350/2783.333)</f>
        <v>0.6472065093896523</v>
      </c>
      <c r="C93" s="2">
        <f>0.237405191232578*(8350/2783.333)</f>
        <v>0.71221565899302219</v>
      </c>
      <c r="D93" s="2">
        <f>0.179175338536068*(8350/2783.333)</f>
        <v>0.53752607998258395</v>
      </c>
      <c r="E93" s="2">
        <f>0.299746392526851*(8350/2783.333)</f>
        <v>0.89923928527388186</v>
      </c>
      <c r="F93" s="2">
        <f>0.367532565356619*(8350/2783.333)</f>
        <v>1.1025978281175006</v>
      </c>
      <c r="G93" s="2">
        <f>0.400361866659775*(8350/2783.333)</f>
        <v>1.20108574382193</v>
      </c>
      <c r="H93" s="2">
        <f>0.412558060226729*(8350/2783.333)</f>
        <v>1.2376743289046583</v>
      </c>
      <c r="I93" s="2">
        <f>0.345762460788047*(8350/2783.333)</f>
        <v>1.0372875065901903</v>
      </c>
      <c r="J93" s="2">
        <f>0.161613766743921*(8350/2783.333)</f>
        <v>0.48484135829659725</v>
      </c>
      <c r="K93" s="2">
        <f>0.223130302181697*(8350/2783.333)</f>
        <v>0.66939098671167618</v>
      </c>
      <c r="L93" s="2">
        <f>0.247552023591212*(8350/2783.333)</f>
        <v>0.74265615971449217</v>
      </c>
      <c r="M93" s="2">
        <f>0.280191487302443*(8350/2783.333)</f>
        <v>0.84057456257494001</v>
      </c>
      <c r="N93" s="2">
        <f>0.5086491236169*(8350/2783.333)</f>
        <v>1.5259475535989104</v>
      </c>
      <c r="O93" s="2">
        <f>0.425913601138615*(8350/2783.333)</f>
        <v>1.2777409564387143</v>
      </c>
      <c r="P93" s="2">
        <f>0.263813587690266*(8350/2783.333)</f>
        <v>0.79144085785413398</v>
      </c>
      <c r="Q93" s="2">
        <f>0.622119859345462*(8350/2783.333)</f>
        <v>1.8663598015525309</v>
      </c>
      <c r="R93" s="2">
        <f>0.319332755805588*(8350/2783.333)</f>
        <v>0.95799838214710964</v>
      </c>
      <c r="S93" s="2">
        <f>0.111246947099071*(8350/2783.333)</f>
        <v>0.33374088126618173</v>
      </c>
      <c r="T93" s="2">
        <f t="shared" si="16"/>
        <v>0.10069243236843764</v>
      </c>
      <c r="U93" s="2">
        <f t="shared" si="17"/>
        <v>0.11437794326585224</v>
      </c>
      <c r="V93" s="2">
        <f t="shared" si="18"/>
        <v>0.11043877033537902</v>
      </c>
      <c r="W93" s="2">
        <f t="shared" si="19"/>
        <v>0.10705744606724045</v>
      </c>
      <c r="X93" s="2">
        <f t="shared" si="20"/>
        <v>0.11728533803050227</v>
      </c>
      <c r="Y93" s="2">
        <f t="shared" si="21"/>
        <v>0.10928020503416074</v>
      </c>
      <c r="Z93" s="2">
        <f t="shared" si="22"/>
        <v>0.10579568013572224</v>
      </c>
      <c r="AA93" s="2">
        <f t="shared" si="23"/>
        <v>0.11798772791544039</v>
      </c>
      <c r="AB93" s="2">
        <f t="shared" si="24"/>
        <v>0.10026757173055721</v>
      </c>
      <c r="AC93" s="2">
        <f t="shared" si="25"/>
        <v>0.1151901624778385</v>
      </c>
      <c r="AD93" s="2">
        <f t="shared" si="26"/>
        <v>0.10227444344259566</v>
      </c>
      <c r="AE93" s="2">
        <f t="shared" si="27"/>
        <v>0.10987695088187602</v>
      </c>
      <c r="AF93" s="2">
        <f t="shared" si="28"/>
        <v>0.11908712371493149</v>
      </c>
      <c r="AG93" s="2">
        <f t="shared" si="29"/>
        <v>9.9235315312320327E-2</v>
      </c>
      <c r="AH93" s="2">
        <f t="shared" si="30"/>
        <v>0.1199891551819615</v>
      </c>
      <c r="AI93" s="2">
        <f t="shared" si="31"/>
        <v>0.10099811712417744</v>
      </c>
      <c r="AJ93" s="2">
        <f>0.12310047253033*(8350/2783.333)</f>
        <v>0.3693014618187091</v>
      </c>
      <c r="AK93" s="2">
        <f>0.349538337710538*(8350/2783.333)</f>
        <v>1.0486151387142648</v>
      </c>
      <c r="AL93" s="2">
        <f>0.287144082573554*(8350/2783.333)</f>
        <v>0.86143235088621373</v>
      </c>
      <c r="AM93" s="2">
        <f>0.355278664163524*(8350/2783.333)</f>
        <v>1.0658361201356159</v>
      </c>
      <c r="AN93" s="2">
        <f>0.294406127952863*(8350/2783.333)</f>
        <v>0.88321848963325966</v>
      </c>
      <c r="AO93" s="2">
        <f>0.117153208265288*(8350/2783.333)</f>
        <v>0.35145966688684238</v>
      </c>
      <c r="AP93" s="2">
        <f>0.128937184301486*(8350/2783.333)</f>
        <v>0.38681159922919894</v>
      </c>
      <c r="AQ93" s="2">
        <f>0.120270145656081*(8350/2783.333)</f>
        <v>0.36081048017907774</v>
      </c>
      <c r="AR93" s="2">
        <f>0.136715646042048*(8350/2783.333)</f>
        <v>0.41014698724554277</v>
      </c>
      <c r="AS93" s="2">
        <f>0.122516874182241*(8350/2783.333)</f>
        <v>0.36755066656476754</v>
      </c>
      <c r="AT93" s="2">
        <f>0.149030804749082*(8350/2783.333)</f>
        <v>0.44709246779125378</v>
      </c>
      <c r="AU93" s="2">
        <f>0.107811133772007*(8350/2783.333)</f>
        <v>0.32343344005056351</v>
      </c>
      <c r="AV93" s="2">
        <f>0.0892198245891208*(8350/2783.333)</f>
        <v>0.26765950582239306</v>
      </c>
      <c r="AW93" s="2">
        <f>0.0694788073977725*(8350/2783.333)</f>
        <v>0.20843644715576637</v>
      </c>
    </row>
    <row r="94" spans="1:49" x14ac:dyDescent="0.25">
      <c r="A94" s="5">
        <v>45716</v>
      </c>
      <c r="B94" s="2">
        <f>0.207330198957194*(8350/2783.333)</f>
        <v>0.62199067136148367</v>
      </c>
      <c r="C94" s="2">
        <f>0.185022264422151*(8350/2783.333)</f>
        <v>0.55506685974152548</v>
      </c>
      <c r="D94" s="2">
        <f>0.163918049883433*(8350/2783.333)</f>
        <v>0.49175420854301882</v>
      </c>
      <c r="E94" s="2">
        <f>0.206625797630565*(8350/2783.333)</f>
        <v>0.61987746712851832</v>
      </c>
      <c r="F94" s="2">
        <f>0.168729084201976*(8350/2783.333)</f>
        <v>0.50618731322716282</v>
      </c>
      <c r="G94" s="2">
        <f>0.209893854355362*(8350/2783.333)</f>
        <v>0.62968163847705916</v>
      </c>
      <c r="H94" s="2">
        <f>0.208666518887825*(8350/2783.333)</f>
        <v>0.62599963163349048</v>
      </c>
      <c r="I94" s="2">
        <f>0.19245269043863*(8350/2783.333)</f>
        <v>0.57735814046057776</v>
      </c>
      <c r="J94" s="2">
        <f>0.165574888477841*(8350/2783.333)</f>
        <v>0.49672472492151371</v>
      </c>
      <c r="K94" s="2">
        <f>0.232558343118952*(8350/2783.333)</f>
        <v>0.69767511291076112</v>
      </c>
      <c r="L94" s="2">
        <f>0.236318570419846*(8350/2783.333)</f>
        <v>0.70895579616442284</v>
      </c>
      <c r="M94" s="2">
        <f>0.215430247312727*(8350/2783.333)</f>
        <v>0.6462908193382797</v>
      </c>
      <c r="N94" s="2">
        <f>0.174146330471472*(8350/2783.333)</f>
        <v>0.52243905398196655</v>
      </c>
      <c r="O94" s="2">
        <f>0.461218608640405*(8350/2783.333)</f>
        <v>1.3836559916285203</v>
      </c>
      <c r="P94" s="2">
        <f>0.409514556055151*(8350/2783.333)</f>
        <v>1.2285438152964494</v>
      </c>
      <c r="Q94" s="2">
        <f>0.404684487731923*(8350/2783.333)</f>
        <v>1.2140536085914113</v>
      </c>
      <c r="R94" s="2">
        <f>0.615218001569507*(8350/2783.333)</f>
        <v>1.845654225744956</v>
      </c>
      <c r="S94" s="2">
        <f>0.333894922941396*(8350/2783.333)</f>
        <v>1.0016848887864493</v>
      </c>
      <c r="T94" s="2">
        <f t="shared" si="16"/>
        <v>0.10069243236843764</v>
      </c>
      <c r="U94" s="2">
        <f t="shared" si="17"/>
        <v>0.11437794326585224</v>
      </c>
      <c r="V94" s="2">
        <f t="shared" si="18"/>
        <v>0.11043877033537902</v>
      </c>
      <c r="W94" s="2">
        <f t="shared" si="19"/>
        <v>0.10705744606724045</v>
      </c>
      <c r="X94" s="2">
        <f t="shared" si="20"/>
        <v>0.11728533803050227</v>
      </c>
      <c r="Y94" s="2">
        <f t="shared" si="21"/>
        <v>0.10928020503416074</v>
      </c>
      <c r="Z94" s="2">
        <f t="shared" si="22"/>
        <v>0.10579568013572224</v>
      </c>
      <c r="AA94" s="2">
        <f t="shared" si="23"/>
        <v>0.11798772791544039</v>
      </c>
      <c r="AB94" s="2">
        <f t="shared" si="24"/>
        <v>0.10026757173055721</v>
      </c>
      <c r="AC94" s="2">
        <f t="shared" si="25"/>
        <v>0.1151901624778385</v>
      </c>
      <c r="AD94" s="2">
        <f t="shared" si="26"/>
        <v>0.10227444344259566</v>
      </c>
      <c r="AE94" s="2">
        <f t="shared" si="27"/>
        <v>0.10987695088187602</v>
      </c>
      <c r="AF94" s="2">
        <f t="shared" si="28"/>
        <v>0.11908712371493149</v>
      </c>
      <c r="AG94" s="2">
        <f t="shared" si="29"/>
        <v>9.9235315312320327E-2</v>
      </c>
      <c r="AH94" s="2">
        <f t="shared" si="30"/>
        <v>0.1199891551819615</v>
      </c>
      <c r="AI94" s="2">
        <f t="shared" si="31"/>
        <v>0.10099811712417744</v>
      </c>
      <c r="AJ94" s="2">
        <f>0.232253600882346*(8350/2783.333)</f>
        <v>0.69676088609145648</v>
      </c>
      <c r="AK94" s="2">
        <f>0.316862798421988*(8350/2783.333)</f>
        <v>0.95058850910890003</v>
      </c>
      <c r="AL94" s="2">
        <f>0.362738570778604*(8350/2783.333)</f>
        <v>1.088215842661062</v>
      </c>
      <c r="AM94" s="2">
        <f>0.351312762796117*(8350/2783.333)</f>
        <v>1.0539384146085209</v>
      </c>
      <c r="AN94" s="2">
        <f>0.257450084465109*(8350/2783.333)</f>
        <v>0.77235034589237583</v>
      </c>
      <c r="AO94" s="2">
        <f>0.127898470679429*(8350/2783.333)</f>
        <v>0.38369545798983945</v>
      </c>
      <c r="AP94" s="2">
        <f>0.132935236527888*(8350/2783.333)</f>
        <v>0.39880575734483287</v>
      </c>
      <c r="AQ94" s="2">
        <f>0.15906150249445*(8350/2783.333)</f>
        <v>0.47718456463120262</v>
      </c>
      <c r="AR94" s="2">
        <f>0.276208073425451*(8350/2783.333)</f>
        <v>0.82862431951279891</v>
      </c>
      <c r="AS94" s="2">
        <f>0.14888533529233*(8350/2783.333)</f>
        <v>0.44665605936873271</v>
      </c>
      <c r="AT94" s="2">
        <f>0.231989646556602*(8350/2783.333)</f>
        <v>0.69596902301938834</v>
      </c>
      <c r="AU94" s="2">
        <f>0.130202676940039*(8350/2783.333)</f>
        <v>0.39060807759952659</v>
      </c>
      <c r="AV94" s="2">
        <f>0.130576930778869*(8350/2783.333)</f>
        <v>0.39173083925048113</v>
      </c>
      <c r="AW94" s="2">
        <f>0.13382830686685*(8350/2783.333)</f>
        <v>0.40148496868258338</v>
      </c>
    </row>
    <row r="95" spans="1:49" x14ac:dyDescent="0.25">
      <c r="A95" s="5">
        <v>45717</v>
      </c>
      <c r="B95" s="2">
        <f>0.226008595259644*(8350/2783.333)</f>
        <v>0.67802586697963585</v>
      </c>
      <c r="C95" s="2">
        <f>0.21481805765377*(8350/2783.333)</f>
        <v>0.64445425014145941</v>
      </c>
      <c r="D95" s="2">
        <f>0.17604563829963*(8350/2783.333)</f>
        <v>0.52813697814882687</v>
      </c>
      <c r="E95" s="2">
        <f>0.20199293221284*(8350/2783.333)</f>
        <v>0.60597886921083843</v>
      </c>
      <c r="F95" s="2">
        <f>0.174197156375188*(8350/2783.333)</f>
        <v>0.52259153171137651</v>
      </c>
      <c r="G95" s="2">
        <f>0.204208242047767*(8350/2783.333)</f>
        <v>0.61262479951154081</v>
      </c>
      <c r="H95" s="2">
        <f>0.187179119917683*(8350/2783.333)</f>
        <v>0.56153742700303944</v>
      </c>
      <c r="I95" s="2">
        <f>0.191986703294711*(8350/2783.333)</f>
        <v>0.57596017886139927</v>
      </c>
      <c r="J95" s="2">
        <f>0.1774582536796*(8350/2783.333)</f>
        <v>0.53237482479626341</v>
      </c>
      <c r="K95" s="2">
        <f>0.229415662806533*(8350/2783.333)</f>
        <v>0.68824707084439907</v>
      </c>
      <c r="L95" s="2">
        <f>0.230493816923582*(8350/2783.333)</f>
        <v>0.69148153358290543</v>
      </c>
      <c r="M95" s="2">
        <f>0.237898432615282*(8350/2783.333)</f>
        <v>0.71369538331834581</v>
      </c>
      <c r="N95" s="2">
        <f>0.219061899869091*(8350/2783.333)</f>
        <v>0.65718577831215697</v>
      </c>
      <c r="O95" s="2">
        <f>0.363566460231199*(8350/2783.333)</f>
        <v>1.0906995113162925</v>
      </c>
      <c r="P95" s="2">
        <f>0.365114556819698*(8350/2783.333)</f>
        <v>1.0953438016379928</v>
      </c>
      <c r="Q95" s="2">
        <f>0.507978080754407*(8350/2783.333)</f>
        <v>1.5239344247703379</v>
      </c>
      <c r="R95" s="2">
        <f>0.25978352395373*(8350/2783.333)</f>
        <v>0.77935066519659979</v>
      </c>
      <c r="S95" s="2">
        <f>0.0449918401010095*(8350/2783.333)</f>
        <v>0.13497553646776331</v>
      </c>
      <c r="T95" s="2">
        <f t="shared" si="16"/>
        <v>0.10069243236843764</v>
      </c>
      <c r="U95" s="2">
        <f t="shared" si="17"/>
        <v>0.11437794326585224</v>
      </c>
      <c r="V95" s="2">
        <f t="shared" si="18"/>
        <v>0.11043877033537902</v>
      </c>
      <c r="W95" s="2">
        <f t="shared" si="19"/>
        <v>0.10705744606724045</v>
      </c>
      <c r="X95" s="2">
        <f t="shared" si="20"/>
        <v>0.11728533803050227</v>
      </c>
      <c r="Y95" s="2">
        <f t="shared" si="21"/>
        <v>0.10928020503416074</v>
      </c>
      <c r="Z95" s="2">
        <f t="shared" si="22"/>
        <v>0.10579568013572224</v>
      </c>
      <c r="AA95" s="2">
        <f t="shared" si="23"/>
        <v>0.11798772791544039</v>
      </c>
      <c r="AB95" s="2">
        <f t="shared" si="24"/>
        <v>0.10026757173055721</v>
      </c>
      <c r="AC95" s="2">
        <f t="shared" si="25"/>
        <v>0.1151901624778385</v>
      </c>
      <c r="AD95" s="2">
        <f t="shared" si="26"/>
        <v>0.10227444344259566</v>
      </c>
      <c r="AE95" s="2">
        <f t="shared" si="27"/>
        <v>0.10987695088187602</v>
      </c>
      <c r="AF95" s="2">
        <f t="shared" si="28"/>
        <v>0.11908712371493149</v>
      </c>
      <c r="AG95" s="2">
        <f t="shared" si="29"/>
        <v>9.9235315312320327E-2</v>
      </c>
      <c r="AH95" s="2">
        <f t="shared" si="30"/>
        <v>0.1199891551819615</v>
      </c>
      <c r="AI95" s="2">
        <f t="shared" si="31"/>
        <v>0.10099811712417744</v>
      </c>
      <c r="AJ95" s="2">
        <f>0.191624380884651*(8350/2783.333)</f>
        <v>0.57487321150104509</v>
      </c>
      <c r="AK95" s="2">
        <f>0.210742239631654*(8350/2783.333)</f>
        <v>0.63222679461074449</v>
      </c>
      <c r="AL95" s="2">
        <f>0.234831547009603*(8350/2783.333)</f>
        <v>0.7044947253994357</v>
      </c>
      <c r="AM95" s="2">
        <f>0.301078012142298*(8350/2783.333)</f>
        <v>0.90323414459864793</v>
      </c>
      <c r="AN95" s="2">
        <f>0.341299931033963*(8350/2783.333)</f>
        <v>1.0238999157246331</v>
      </c>
      <c r="AO95" s="2">
        <f>0.157746421829821*(8350/2783.333)</f>
        <v>0.47323932216483122</v>
      </c>
      <c r="AP95" s="2">
        <f>0.154924523773103*(8350/2783.333)</f>
        <v>0.46477362698082031</v>
      </c>
      <c r="AQ95" s="2">
        <f>0.146187515072109*(8350/2783.333)</f>
        <v>0.43856259773879402</v>
      </c>
      <c r="AR95" s="2">
        <f>0.141452508330243*(8350/2783.333)</f>
        <v>0.42435757581199501</v>
      </c>
      <c r="AS95" s="2">
        <f>0.260951295010207*(8350/2783.333)</f>
        <v>0.78285397878558727</v>
      </c>
      <c r="AT95" s="2">
        <f>0.207233154238547*(8350/2783.333)</f>
        <v>0.62169953717067661</v>
      </c>
      <c r="AU95" s="2">
        <f>0.24862906080652*(8350/2783.333)</f>
        <v>0.74588727174737668</v>
      </c>
      <c r="AV95" s="2">
        <f>0.124071318569246*(8350/2783.333)</f>
        <v>0.37221400028426527</v>
      </c>
      <c r="AW95" s="2">
        <f>0.109425235812152*(8350/2783.333)</f>
        <v>0.32827574675091609</v>
      </c>
    </row>
    <row r="96" spans="1:49" x14ac:dyDescent="0.25">
      <c r="A96" s="5">
        <v>45718</v>
      </c>
      <c r="B96" s="2">
        <f>0.3217353763097*(8350/2783.333)</f>
        <v>0.96520624452266301</v>
      </c>
      <c r="C96" s="2">
        <f>0.291229849973567*(8350/2783.333)</f>
        <v>0.87368965455419356</v>
      </c>
      <c r="D96" s="2">
        <f>0.156093799292338*(8350/2783.333)</f>
        <v>0.46828145395862675</v>
      </c>
      <c r="E96" s="2">
        <f>0.211258663048291*(8350/2783.333)</f>
        <v>0.6337760650461981</v>
      </c>
      <c r="F96" s="2">
        <f>0.171853696872383*(8350/2783.333)</f>
        <v>0.5155611523609992</v>
      </c>
      <c r="G96" s="2">
        <f>0.215579466662956*(8350/2783.333)</f>
        <v>0.64673847744257784</v>
      </c>
      <c r="H96" s="2">
        <f>0.210576509907393*(8350/2783.333)</f>
        <v>0.63172960537841916</v>
      </c>
      <c r="I96" s="2">
        <f>0.209228227619721*(8350/2783.333)</f>
        <v>0.62768475803099122</v>
      </c>
      <c r="J96" s="2">
        <f>0.17547769281264*(8350/2783.333)</f>
        <v>0.52643314148380516</v>
      </c>
      <c r="K96" s="2">
        <f>0.278650987701086*(8350/2783.333)</f>
        <v>0.83595306321739837</v>
      </c>
      <c r="L96" s="2">
        <f>0.24463964684308*(8350/2783.333)</f>
        <v>0.7339190284237338</v>
      </c>
      <c r="M96" s="2">
        <f>0.252436670163993*(8350/2783.333)</f>
        <v>0.75731010118780007</v>
      </c>
      <c r="N96" s="2">
        <f>0.198574096284212*(8350/2783.333)</f>
        <v>0.59572236019663116</v>
      </c>
      <c r="O96" s="2">
        <f>0.215961482058822*(8350/2783.333)</f>
        <v>0.647884523767426</v>
      </c>
      <c r="P96" s="2">
        <f>0.512539796999553*(8350/2783.333)</f>
        <v>1.5376195751447146</v>
      </c>
      <c r="Q96" s="2">
        <f>0.639099628061487*(8350/2783.333)</f>
        <v>1.9172991138011211</v>
      </c>
      <c r="R96" s="2">
        <f>0.327892957884293*(8350/2783.333)</f>
        <v>0.98367899145874527</v>
      </c>
      <c r="S96" s="2">
        <f>0.139752051272656*(8350/2783.333)</f>
        <v>0.41925620402829217</v>
      </c>
      <c r="T96" s="2">
        <f t="shared" si="16"/>
        <v>0.10069243236843764</v>
      </c>
      <c r="U96" s="2">
        <f t="shared" si="17"/>
        <v>0.11437794326585224</v>
      </c>
      <c r="V96" s="2">
        <f t="shared" si="18"/>
        <v>0.11043877033537902</v>
      </c>
      <c r="W96" s="2">
        <f t="shared" si="19"/>
        <v>0.10705744606724045</v>
      </c>
      <c r="X96" s="2">
        <f t="shared" si="20"/>
        <v>0.11728533803050227</v>
      </c>
      <c r="Y96" s="2">
        <f t="shared" si="21"/>
        <v>0.10928020503416074</v>
      </c>
      <c r="Z96" s="2">
        <f t="shared" si="22"/>
        <v>0.10579568013572224</v>
      </c>
      <c r="AA96" s="2">
        <f t="shared" si="23"/>
        <v>0.11798772791544039</v>
      </c>
      <c r="AB96" s="2">
        <f t="shared" si="24"/>
        <v>0.10026757173055721</v>
      </c>
      <c r="AC96" s="2">
        <f t="shared" si="25"/>
        <v>0.1151901624778385</v>
      </c>
      <c r="AD96" s="2">
        <f t="shared" si="26"/>
        <v>0.10227444344259566</v>
      </c>
      <c r="AE96" s="2">
        <f t="shared" si="27"/>
        <v>0.10987695088187602</v>
      </c>
      <c r="AF96" s="2">
        <f t="shared" si="28"/>
        <v>0.11908712371493149</v>
      </c>
      <c r="AG96" s="2">
        <f t="shared" si="29"/>
        <v>9.9235315312320327E-2</v>
      </c>
      <c r="AH96" s="2">
        <f t="shared" si="30"/>
        <v>0.1199891551819615</v>
      </c>
      <c r="AI96" s="2">
        <f t="shared" si="31"/>
        <v>0.10099811712417744</v>
      </c>
      <c r="AJ96" s="2">
        <f>0.125677699171974*(8350/2783.333)</f>
        <v>0.37703314266959326</v>
      </c>
      <c r="AK96" s="2">
        <f>0.267100050514656*(8350/2783.333)</f>
        <v>0.80130024750807005</v>
      </c>
      <c r="AL96" s="2">
        <f>0.276221685038224*(8350/2783.333)</f>
        <v>0.82866515435600663</v>
      </c>
      <c r="AM96" s="2">
        <f>0.354287188821672*(8350/2783.333)</f>
        <v>1.0628616937538424</v>
      </c>
      <c r="AN96" s="2">
        <f>0.285089478334102*(8350/2783.333)</f>
        <v>0.85526853742967568</v>
      </c>
      <c r="AO96" s="2">
        <f>0.150582913553727*(8350/2783.333)</f>
        <v>0.45174879476283303</v>
      </c>
      <c r="AP96" s="2">
        <f>0.390143263093126*(8350/2783.333)</f>
        <v>1.1704299294506255</v>
      </c>
      <c r="AQ96" s="2">
        <f>0.254261251591235*(8350/2783.333)</f>
        <v>0.762783846125064</v>
      </c>
      <c r="AR96" s="2">
        <f>0.23684311440976*(8350/2783.333)</f>
        <v>0.710529428322625</v>
      </c>
      <c r="AS96" s="2">
        <f>0.188759593556366*(8350/2783.333)</f>
        <v>0.566278848486925</v>
      </c>
      <c r="AT96" s="2">
        <f>0.250352077944827*(8350/2783.333)</f>
        <v>0.7510563237813469</v>
      </c>
      <c r="AU96" s="2">
        <f>0.134017532442741*(8350/2783.333)</f>
        <v>0.40205264547823921</v>
      </c>
      <c r="AV96" s="2">
        <f>0.12515558727085*(8350/2783.333)</f>
        <v>0.37546680677863464</v>
      </c>
      <c r="AW96" s="2">
        <f>0.0784939546663873*(8350/2783.333)</f>
        <v>0.23548189220058624</v>
      </c>
    </row>
    <row r="97" spans="1:49" x14ac:dyDescent="0.25">
      <c r="A97" s="5">
        <v>45719</v>
      </c>
      <c r="B97" s="2">
        <f>0.217136357015981*(8350/2783.333)</f>
        <v>0.65140914906101377</v>
      </c>
      <c r="C97" s="2">
        <f>0.220104408065831*(8350/2783.333)</f>
        <v>0.66031330327693138</v>
      </c>
      <c r="D97" s="2">
        <f>0.173698363122301*(8350/2783.333)</f>
        <v>0.52109515177350929</v>
      </c>
      <c r="E97" s="2">
        <f>0.190410768668525*(8350/2783.333)</f>
        <v>0.57123237441663932</v>
      </c>
      <c r="F97" s="2">
        <f>0.15701178668795*(8350/2783.333)</f>
        <v>0.47103541647527625</v>
      </c>
      <c r="G97" s="2">
        <f>0.21463186461169*(8350/2783.333)</f>
        <v>0.64389567094832423</v>
      </c>
      <c r="H97" s="2">
        <f>0.209621514397609*(8350/2783.333)</f>
        <v>0.62886461850595499</v>
      </c>
      <c r="I97" s="2">
        <f>0.20969421476364*(8350/2783.333)</f>
        <v>0.62908271963016904</v>
      </c>
      <c r="J97" s="2">
        <f>0.181815487586911*(8350/2783.333)</f>
        <v>0.54544652808367167</v>
      </c>
      <c r="K97" s="2">
        <f>0.2351772433793*(8350/2783.333)</f>
        <v>0.70553181463272896</v>
      </c>
      <c r="L97" s="2">
        <f>0.240479108631463*(8350/2783.333)</f>
        <v>0.72143741229407821</v>
      </c>
      <c r="M97" s="2">
        <f>0.612808740310846*(8350/2783.333)</f>
        <v>1.8384264411033682</v>
      </c>
      <c r="N97" s="2">
        <f>0.340018740264435*(8350/2783.333)</f>
        <v>1.0200563429557399</v>
      </c>
      <c r="O97" s="2">
        <f>0.313989215654217*(8350/2783.333)</f>
        <v>0.94196775977316194</v>
      </c>
      <c r="P97" s="2">
        <f>0.450897079614409*(8350/2783.333)</f>
        <v>1.3526914008421964</v>
      </c>
      <c r="Q97" s="2">
        <f>0.6556077365354*(8350/2783.333)</f>
        <v>1.9668234451539177</v>
      </c>
      <c r="R97" s="2">
        <f>0.436198123314859*(8350/2783.333)</f>
        <v>1.3085945266624852</v>
      </c>
      <c r="S97" s="2">
        <f>0.321106146474328*(8350/2783.333)</f>
        <v>0.9633185547904749</v>
      </c>
      <c r="T97" s="2">
        <f t="shared" si="16"/>
        <v>0.10069243236843764</v>
      </c>
      <c r="U97" s="2">
        <f t="shared" si="17"/>
        <v>0.11437794326585224</v>
      </c>
      <c r="V97" s="2">
        <f t="shared" si="18"/>
        <v>0.11043877033537902</v>
      </c>
      <c r="W97" s="2">
        <f t="shared" si="19"/>
        <v>0.10705744606724045</v>
      </c>
      <c r="X97" s="2">
        <f t="shared" si="20"/>
        <v>0.11728533803050227</v>
      </c>
      <c r="Y97" s="2">
        <f t="shared" si="21"/>
        <v>0.10928020503416074</v>
      </c>
      <c r="Z97" s="2">
        <f t="shared" si="22"/>
        <v>0.10579568013572224</v>
      </c>
      <c r="AA97" s="2">
        <f t="shared" si="23"/>
        <v>0.11798772791544039</v>
      </c>
      <c r="AB97" s="2">
        <f t="shared" si="24"/>
        <v>0.10026757173055721</v>
      </c>
      <c r="AC97" s="2">
        <f t="shared" si="25"/>
        <v>0.1151901624778385</v>
      </c>
      <c r="AD97" s="2">
        <f t="shared" si="26"/>
        <v>0.10227444344259566</v>
      </c>
      <c r="AE97" s="2">
        <f t="shared" si="27"/>
        <v>0.10987695088187602</v>
      </c>
      <c r="AF97" s="2">
        <f t="shared" si="28"/>
        <v>0.11908712371493149</v>
      </c>
      <c r="AG97" s="2">
        <f t="shared" si="29"/>
        <v>9.9235315312320327E-2</v>
      </c>
      <c r="AH97" s="2">
        <f t="shared" si="30"/>
        <v>0.1199891551819615</v>
      </c>
      <c r="AI97" s="2">
        <f t="shared" si="31"/>
        <v>0.10099811712417744</v>
      </c>
      <c r="AJ97" s="2">
        <f>0.202084889018386*(8350/2783.333)</f>
        <v>0.60625473966051635</v>
      </c>
      <c r="AK97" s="2">
        <f>0.237422267124139*(8350/2783.333)</f>
        <v>0.7122668866738403</v>
      </c>
      <c r="AL97" s="2">
        <f>0.410452202117152*(8350/2783.333)</f>
        <v>1.2313567538193322</v>
      </c>
      <c r="AM97" s="2">
        <f>0.256792113539589*(8350/2783.333)</f>
        <v>0.77037643287941737</v>
      </c>
      <c r="AN97" s="2">
        <f>0.327324956605821*(8350/2783.333)</f>
        <v>0.98197498741925726</v>
      </c>
      <c r="AO97" s="2">
        <f>0.116257769730776*(8350/2783.333)</f>
        <v>0.34877335096159279</v>
      </c>
      <c r="AP97" s="2">
        <f>0.116276685584544*(8350/2783.333)</f>
        <v>0.3488300985296911</v>
      </c>
      <c r="AQ97" s="2">
        <f>0.1367014190767*(8350/2783.333)</f>
        <v>0.41010430634438849</v>
      </c>
      <c r="AR97" s="2">
        <f>0.130998743280433*(8350/2783.333)</f>
        <v>0.39299627690672073</v>
      </c>
      <c r="AS97" s="2">
        <f>0.121552174385531*(8350/2783.333)</f>
        <v>0.36465656682803693</v>
      </c>
      <c r="AT97" s="2">
        <f>0.124766163271784*(8350/2783.333)</f>
        <v>0.37429853464152257</v>
      </c>
      <c r="AU97" s="2">
        <f>0.111460125991982*(8350/2783.333)</f>
        <v>0.33438041802150564</v>
      </c>
      <c r="AV97" s="2">
        <f>0.0808554660338907*(8350/2783.333)</f>
        <v>0.24256642715154372</v>
      </c>
      <c r="AW97" s="2">
        <f>0.0704114088393534*(8350/2783.333)</f>
        <v>0.21123425181557534</v>
      </c>
    </row>
    <row r="98" spans="1:49" x14ac:dyDescent="0.25">
      <c r="A98" s="5">
        <v>45720</v>
      </c>
      <c r="B98" s="2">
        <f>0.21340067775549*(8350/2783.333)</f>
        <v>0.6402021099373828</v>
      </c>
      <c r="C98" s="2">
        <f>0.210492861862083*(8350/2783.333)</f>
        <v>0.6314786612124369</v>
      </c>
      <c r="D98" s="2">
        <f>0.173307150592747*(8350/2783.333)</f>
        <v>0.51992151404428932</v>
      </c>
      <c r="E98" s="2">
        <f>0.187167762876117*(8350/2783.333)</f>
        <v>0.56150335587426281</v>
      </c>
      <c r="F98" s="2">
        <f>0.167166777866773*(8350/2783.333)</f>
        <v>0.5015003936602449</v>
      </c>
      <c r="G98" s="2">
        <f>0.208472451278463*(8350/2783.333)</f>
        <v>0.62541742873567985</v>
      </c>
      <c r="H98" s="2">
        <f>0.20054905705466*(8350/2783.333)</f>
        <v>0.60164724321754259</v>
      </c>
      <c r="I98" s="2">
        <f>0.182666960416327*(8350/2783.333)</f>
        <v>0.54800094687783663</v>
      </c>
      <c r="J98" s="2">
        <f>0.172704907598896*(8350/2783.333)</f>
        <v>0.51811478484636375</v>
      </c>
      <c r="K98" s="2">
        <f>0.232558343118952*(8350/2783.333)</f>
        <v>0.69767511291076112</v>
      </c>
      <c r="L98" s="2">
        <f>0.23507040895636*(8350/2783.333)</f>
        <v>0.70521131132552561</v>
      </c>
      <c r="M98" s="2">
        <f>0.500467813798074*(8350/2783.333)</f>
        <v>1.5014036212030377</v>
      </c>
      <c r="N98" s="2">
        <f>0.442457758188829*(8350/2783.333)</f>
        <v>1.3273734335333667</v>
      </c>
      <c r="O98" s="2">
        <f>0.352298904645521*(8350/2783.333)</f>
        <v>1.0568968405110359</v>
      </c>
      <c r="P98" s="2">
        <f>0.452621351429378*(8350/2783.333)</f>
        <v>1.3578642169066029</v>
      </c>
      <c r="Q98" s="2">
        <f>0.48250842768037*(8350/2783.333)</f>
        <v>1.4475254563974513</v>
      </c>
      <c r="R98" s="2">
        <f>0.349851737129665*(8350/2783.333)</f>
        <v>1.0495553370842459</v>
      </c>
      <c r="S98" s="2">
        <f>0.138673479763385*(8350/2783.333)</f>
        <v>0.41602048911296891</v>
      </c>
      <c r="T98" s="2">
        <f t="shared" si="16"/>
        <v>0.10069243236843764</v>
      </c>
      <c r="U98" s="2">
        <f t="shared" si="17"/>
        <v>0.11437794326585224</v>
      </c>
      <c r="V98" s="2">
        <f t="shared" si="18"/>
        <v>0.11043877033537902</v>
      </c>
      <c r="W98" s="2">
        <f t="shared" si="19"/>
        <v>0.10705744606724045</v>
      </c>
      <c r="X98" s="2">
        <f t="shared" si="20"/>
        <v>0.11728533803050227</v>
      </c>
      <c r="Y98" s="2">
        <f t="shared" si="21"/>
        <v>0.10928020503416074</v>
      </c>
      <c r="Z98" s="2">
        <f t="shared" si="22"/>
        <v>0.10579568013572224</v>
      </c>
      <c r="AA98" s="2">
        <f t="shared" si="23"/>
        <v>0.11798772791544039</v>
      </c>
      <c r="AB98" s="2">
        <f t="shared" si="24"/>
        <v>0.10026757173055721</v>
      </c>
      <c r="AC98" s="2">
        <f t="shared" si="25"/>
        <v>0.1151901624778385</v>
      </c>
      <c r="AD98" s="2">
        <f t="shared" si="26"/>
        <v>0.10227444344259566</v>
      </c>
      <c r="AE98" s="2">
        <f t="shared" si="27"/>
        <v>0.10987695088187602</v>
      </c>
      <c r="AF98" s="2">
        <f t="shared" si="28"/>
        <v>0.11908712371493149</v>
      </c>
      <c r="AG98" s="2">
        <f t="shared" si="29"/>
        <v>9.9235315312320327E-2</v>
      </c>
      <c r="AH98" s="2">
        <f t="shared" si="30"/>
        <v>0.1199891551819615</v>
      </c>
      <c r="AI98" s="2">
        <f t="shared" si="31"/>
        <v>0.10099811712417744</v>
      </c>
      <c r="AJ98" s="2">
        <f>0.114004378500995*(8350/2783.333)</f>
        <v>0.34201317646264684</v>
      </c>
      <c r="AK98" s="2">
        <f>0.348039459761522*(8350/2783.333)</f>
        <v>1.0441185043286973</v>
      </c>
      <c r="AL98" s="2">
        <f>0.200627196833174*(8350/2783.333)</f>
        <v>0.60188166258115827</v>
      </c>
      <c r="AM98" s="2">
        <f>0.453765214787459*(8350/2783.333)</f>
        <v>1.3612958073918151</v>
      </c>
      <c r="AN98" s="2">
        <f>0.293163908003695*(8350/2783.333)</f>
        <v>0.87949182933944803</v>
      </c>
      <c r="AO98" s="2">
        <f>0.154910866470534*(8350/2783.333)</f>
        <v>0.4647326550682071</v>
      </c>
      <c r="AP98" s="2">
        <f>0.144929393207096*(8350/2783.333)</f>
        <v>0.43478823169173525</v>
      </c>
      <c r="AQ98" s="2">
        <f>0.19039949819357*(8350/2783.333)</f>
        <v>0.5711985629877232</v>
      </c>
      <c r="AR98" s="2">
        <f>0.207278560128266*(8350/2783.333)</f>
        <v>0.62183575485614595</v>
      </c>
      <c r="AS98" s="2">
        <f>0.202426174009766*(8350/2783.333)</f>
        <v>0.60727859475727342</v>
      </c>
      <c r="AT98" s="2">
        <f>0.120995306825987*(8350/2783.333)</f>
        <v>0.36298596394933452</v>
      </c>
      <c r="AU98" s="2">
        <f>0.0991862430702461*(8350/2783.333)</f>
        <v>0.29755876484651861</v>
      </c>
      <c r="AV98" s="2">
        <f>0.0783771375730818*(8350/2783.333)</f>
        <v>0.23513144087869944</v>
      </c>
      <c r="AW98" s="2">
        <f>0.0704114088393534*(8350/2783.333)</f>
        <v>0.21123425181557534</v>
      </c>
    </row>
    <row r="99" spans="1:49" x14ac:dyDescent="0.25">
      <c r="A99" s="5">
        <v>45721</v>
      </c>
      <c r="B99" s="2">
        <f>0.203127559789143*(8350/2783.333)</f>
        <v>0.60938275234739991</v>
      </c>
      <c r="C99" s="2">
        <f>0.219143253445456*(8350/2783.333)</f>
        <v>0.65742983907048191</v>
      </c>
      <c r="D99" s="2">
        <f>0.148660761230798*(8350/2783.333)</f>
        <v>0.44598233710345381</v>
      </c>
      <c r="E99" s="2">
        <f>0.203382791838157*(8350/2783.333)</f>
        <v>0.61014844858614203</v>
      </c>
      <c r="F99" s="2">
        <f>0.171072543704781*(8350/2783.333)</f>
        <v>0.51321769257754035</v>
      </c>
      <c r="G99" s="2">
        <f>0.203260639996501*(8350/2783.333)</f>
        <v>0.60978199301728742</v>
      </c>
      <c r="H99" s="2">
        <f>0.196729075015524*(8350/2783.333)</f>
        <v>0.59018729572768469</v>
      </c>
      <c r="I99" s="2">
        <f>0.191520716150792*(8350/2783.333)</f>
        <v>0.57456221726222145</v>
      </c>
      <c r="J99" s="2">
        <f>0.169536010211761*(8350/2783.333)</f>
        <v>0.50860809154643027</v>
      </c>
      <c r="K99" s="2">
        <f>0.222606522129627*(8350/2783.333)</f>
        <v>0.66781964636728264</v>
      </c>
      <c r="L99" s="2">
        <f>0.216764040825246*(8350/2783.333)</f>
        <v>0.65029220035504287</v>
      </c>
      <c r="M99" s="2">
        <f>0.326449515866525*(8350/2783.333)</f>
        <v>0.97934866488684125</v>
      </c>
      <c r="N99" s="2">
        <f>0.480281395576299*(8350/2783.333)</f>
        <v>1.4408443592851066</v>
      </c>
      <c r="O99" s="2">
        <f>0.48412930499795*(8350/2783.333)</f>
        <v>1.4523880889325425</v>
      </c>
      <c r="P99" s="2">
        <f>0.597460183886779*(8350/2783.333)</f>
        <v>1.7923807663167153</v>
      </c>
      <c r="Q99" s="2">
        <f>0.63721298709304*(8350/2783.333)</f>
        <v>1.9116391902179448</v>
      </c>
      <c r="R99" s="2">
        <f>0.510634663129682*(8350/2783.333)</f>
        <v>1.5319041728506231</v>
      </c>
      <c r="S99" s="2">
        <f>0.185360217950392*(8350/2783.333)</f>
        <v>0.55608072044766821</v>
      </c>
      <c r="T99" s="2">
        <f t="shared" si="16"/>
        <v>0.10069243236843764</v>
      </c>
      <c r="U99" s="2">
        <f t="shared" si="17"/>
        <v>0.11437794326585224</v>
      </c>
      <c r="V99" s="2">
        <f t="shared" si="18"/>
        <v>0.11043877033537902</v>
      </c>
      <c r="W99" s="2">
        <f t="shared" si="19"/>
        <v>0.10705744606724045</v>
      </c>
      <c r="X99" s="2">
        <f t="shared" si="20"/>
        <v>0.11728533803050227</v>
      </c>
      <c r="Y99" s="2">
        <f t="shared" si="21"/>
        <v>0.10928020503416074</v>
      </c>
      <c r="Z99" s="2">
        <f t="shared" si="22"/>
        <v>0.10579568013572224</v>
      </c>
      <c r="AA99" s="2">
        <f t="shared" si="23"/>
        <v>0.11798772791544039</v>
      </c>
      <c r="AB99" s="2">
        <f t="shared" si="24"/>
        <v>0.10026757173055721</v>
      </c>
      <c r="AC99" s="2">
        <f t="shared" si="25"/>
        <v>0.1151901624778385</v>
      </c>
      <c r="AD99" s="2">
        <f t="shared" si="26"/>
        <v>0.10227444344259566</v>
      </c>
      <c r="AE99" s="2">
        <f t="shared" si="27"/>
        <v>0.10987695088187602</v>
      </c>
      <c r="AF99" s="2">
        <f t="shared" si="28"/>
        <v>0.11908712371493149</v>
      </c>
      <c r="AG99" s="2">
        <f t="shared" si="29"/>
        <v>9.9235315312320327E-2</v>
      </c>
      <c r="AH99" s="2">
        <f t="shared" si="30"/>
        <v>0.1199891551819615</v>
      </c>
      <c r="AI99" s="2">
        <f t="shared" si="31"/>
        <v>0.10099811712417744</v>
      </c>
      <c r="AJ99" s="2">
        <f>0.146598715439444*(8350/2783.333)</f>
        <v>0.43979619898853661</v>
      </c>
      <c r="AK99" s="2">
        <f>0.306370652778876*(8350/2783.333)</f>
        <v>0.91911206840993021</v>
      </c>
      <c r="AL99" s="2">
        <f>0.240292745777269*(8350/2783.333)</f>
        <v>0.72087832366453919</v>
      </c>
      <c r="AM99" s="2">
        <f>0.264723916274402*(8350/2783.333)</f>
        <v>0.79417184393360762</v>
      </c>
      <c r="AN99" s="2">
        <f>0.254655089579481*(8350/2783.333)</f>
        <v>0.76396536023130068</v>
      </c>
      <c r="AO99" s="2">
        <f>0.109392740966186*(8350/2783.333)</f>
        <v>0.32817826220134449</v>
      </c>
      <c r="AP99" s="2">
        <f>0.117942540678878*(8350/2783.333)</f>
        <v>0.35382766441120517</v>
      </c>
      <c r="AQ99" s="2">
        <f>0.138395364790166*(8350/2783.333)</f>
        <v>0.41518614409338955</v>
      </c>
      <c r="AR99" s="2">
        <f>0.216588944625753*(8350/2783.333)</f>
        <v>0.64976691169365586</v>
      </c>
      <c r="AS99" s="2">
        <f>0.184579227770621*(8350/2783.333)</f>
        <v>0.55373774962776001</v>
      </c>
      <c r="AT99" s="2">
        <f>0.19526478378015*(8350/2783.333)</f>
        <v>0.58579442149547112</v>
      </c>
      <c r="AU99" s="2">
        <f>0.123568145630992*(8350/2783.333)</f>
        <v>0.37070448128872285</v>
      </c>
      <c r="AV99" s="2">
        <f>0.0740400627666662*(8350/2783.333)</f>
        <v>0.222120214901222</v>
      </c>
      <c r="AW99" s="2">
        <f>0.0702559752657566*(8350/2783.333)</f>
        <v>0.21076795103894053</v>
      </c>
    </row>
    <row r="100" spans="1:49" x14ac:dyDescent="0.25">
      <c r="A100" s="5">
        <v>45722</v>
      </c>
      <c r="B100" s="2">
        <f>0.209664998495001*(8350/2783.333)</f>
        <v>0.62899507081375272</v>
      </c>
      <c r="C100" s="2">
        <f>0.211454016482458*(8350/2783.333)</f>
        <v>0.63436212541888659</v>
      </c>
      <c r="D100" s="2">
        <f>0.175654425770075*(8350/2783.333)</f>
        <v>0.52696334041960713</v>
      </c>
      <c r="E100" s="2">
        <f>0.288164228982537*(8350/2783.333)</f>
        <v>0.8644927904796823</v>
      </c>
      <c r="F100" s="2">
        <f>0.299572239775267*(8350/2783.333)</f>
        <v>0.89871682695656019</v>
      </c>
      <c r="G100" s="2">
        <f>0.352981764096488*(8350/2783.333)</f>
        <v>1.0589454191092755</v>
      </c>
      <c r="H100" s="2">
        <f>0.348573361071195*(8350/2783.333)</f>
        <v>1.0457202084495372</v>
      </c>
      <c r="I100" s="2">
        <f>0.266078659177864*(8350/2783.333)</f>
        <v>0.79823607313072586</v>
      </c>
      <c r="J100" s="2">
        <f>0.155672084143042*(8350/2783.333)</f>
        <v>0.4670163083592222</v>
      </c>
      <c r="K100" s="2">
        <f>0.211083360984094*(8350/2783.333)</f>
        <v>0.63325015879062341</v>
      </c>
      <c r="L100" s="2">
        <f>0.242559377737271*(8350/2783.333)</f>
        <v>0.72767822035890584</v>
      </c>
      <c r="M100" s="2">
        <f>0.250674459552028*(8350/2783.333)</f>
        <v>0.75202346871877546</v>
      </c>
      <c r="N100" s="2">
        <f>0.527166946087849*(8350/2783.333)</f>
        <v>1.5815010276648662</v>
      </c>
      <c r="O100" s="2">
        <f>0.351547734273143*(8350/2783.333)</f>
        <v>1.0546433291240187</v>
      </c>
      <c r="P100" s="2">
        <f>0.277607762210018*(8350/2783.333)</f>
        <v>0.83282338636938302</v>
      </c>
      <c r="Q100" s="2">
        <f>0.0844271833380119*(8350/2783.333)</f>
        <v>0.2532815803471592</v>
      </c>
      <c r="R100" s="2">
        <f>0.344268996643554*(8350/2783.333)</f>
        <v>1.0328071136201356</v>
      </c>
      <c r="S100" s="2">
        <f>0.158241848574441*(8350/2783.333)</f>
        <v>0.47472560257668794</v>
      </c>
      <c r="T100" s="2">
        <f t="shared" si="16"/>
        <v>0.10069243236843764</v>
      </c>
      <c r="U100" s="2">
        <f t="shared" si="17"/>
        <v>0.11437794326585224</v>
      </c>
      <c r="V100" s="2">
        <f t="shared" si="18"/>
        <v>0.11043877033537902</v>
      </c>
      <c r="W100" s="2">
        <f t="shared" si="19"/>
        <v>0.10705744606724045</v>
      </c>
      <c r="X100" s="2">
        <f t="shared" si="20"/>
        <v>0.11728533803050227</v>
      </c>
      <c r="Y100" s="2">
        <f t="shared" si="21"/>
        <v>0.10928020503416074</v>
      </c>
      <c r="Z100" s="2">
        <f t="shared" si="22"/>
        <v>0.10579568013572224</v>
      </c>
      <c r="AA100" s="2">
        <f t="shared" si="23"/>
        <v>0.11798772791544039</v>
      </c>
      <c r="AB100" s="2">
        <f t="shared" si="24"/>
        <v>0.10026757173055721</v>
      </c>
      <c r="AC100" s="2">
        <f t="shared" si="25"/>
        <v>0.1151901624778385</v>
      </c>
      <c r="AD100" s="2">
        <f t="shared" si="26"/>
        <v>0.10227444344259566</v>
      </c>
      <c r="AE100" s="2">
        <f t="shared" si="27"/>
        <v>0.10987695088187602</v>
      </c>
      <c r="AF100" s="2">
        <f t="shared" si="28"/>
        <v>0.11908712371493149</v>
      </c>
      <c r="AG100" s="2">
        <f t="shared" si="29"/>
        <v>9.9235315312320327E-2</v>
      </c>
      <c r="AH100" s="2">
        <f t="shared" si="30"/>
        <v>0.1199891551819615</v>
      </c>
      <c r="AI100" s="2">
        <f t="shared" si="31"/>
        <v>0.10099811712417744</v>
      </c>
      <c r="AJ100" s="2">
        <f>0.177525435139182*(8350/2783.333)</f>
        <v>0.53257636919914808</v>
      </c>
      <c r="AK100" s="2">
        <f>0.265900948155444*(8350/2783.333)</f>
        <v>0.79770293999961672</v>
      </c>
      <c r="AL100" s="2">
        <f>0.371361516201233*(8350/2783.333)</f>
        <v>1.1140846820270145</v>
      </c>
      <c r="AM100" s="2">
        <f>0.41906357782265*(8350/2783.333)</f>
        <v>1.2571908840297312</v>
      </c>
      <c r="AN100" s="2">
        <f>0.272046168867836*(8350/2783.333)</f>
        <v>0.81613860434465757</v>
      </c>
      <c r="AO100" s="2">
        <f>0.133718821153756*(8350/2783.333)</f>
        <v>0.40115651150396281</v>
      </c>
      <c r="AP100" s="2">
        <f>0.191739921357894*(8350/2783.333)</f>
        <v>0.57521983296228441</v>
      </c>
      <c r="AQ100" s="2">
        <f>0.22072112646461*(8350/2783.333)</f>
        <v>0.66216345869484305</v>
      </c>
      <c r="AR100" s="2">
        <f>0.27914819484571*(8350/2783.333)</f>
        <v>0.83744468482990719</v>
      </c>
      <c r="AS100" s="2">
        <f>0.380091719903961*(8350/2783.333)</f>
        <v>1.1402752962717984</v>
      </c>
      <c r="AT100" s="2">
        <f>0.192969479856622*(8350/2783.333)</f>
        <v>0.57890850890022627</v>
      </c>
      <c r="AU100" s="2">
        <f>0.159892204548022*(8350/2783.333)</f>
        <v>0.47967667109037426</v>
      </c>
      <c r="AV100" s="2">
        <f>0.11973424376283*(8350/2783.333)</f>
        <v>0.35920277430678782</v>
      </c>
      <c r="AW100" s="2">
        <f>0.119062117375154*(8350/2783.333)</f>
        <v>0.35718639490227544</v>
      </c>
    </row>
    <row r="101" spans="1:49" x14ac:dyDescent="0.25">
      <c r="A101" s="5">
        <v>45723</v>
      </c>
      <c r="B101" s="2">
        <f>0.322202336217262*(8350/2783.333)</f>
        <v>0.96660712441311702</v>
      </c>
      <c r="C101" s="2">
        <f>0.286424076871693*(8350/2783.333)</f>
        <v>0.85927233352194554</v>
      </c>
      <c r="D101" s="2">
        <f>0.226120842082636*(8350/2783.333)</f>
        <v>0.67836260748893795</v>
      </c>
      <c r="E101" s="2">
        <f>0.264073328810364*(8350/2783.333)</f>
        <v>0.79222008130774757</v>
      </c>
      <c r="F101" s="2">
        <f>0.217160580593284*(8350/2783.333)</f>
        <v>0.65148181980162645</v>
      </c>
      <c r="G101" s="2">
        <f>0.267223778456939*(8350/2783.333)</f>
        <v>0.80167143137937069</v>
      </c>
      <c r="H101" s="2">
        <f>0.223468949289478*(8350/2783.333)</f>
        <v>0.67040692815669034</v>
      </c>
      <c r="I101" s="2">
        <f>0.220411919073782*(8350/2783.333)</f>
        <v>0.66123583641126704</v>
      </c>
      <c r="J101" s="2">
        <f>0.17943881454656*(8350/2783.333)</f>
        <v>0.53831650810872167</v>
      </c>
      <c r="K101" s="2">
        <f>0.229415662806533*(8350/2783.333)</f>
        <v>0.68824707084439907</v>
      </c>
      <c r="L101" s="2">
        <f>0.241311216273786*(8350/2783.333)</f>
        <v>0.72393373552000895</v>
      </c>
      <c r="M101" s="2">
        <f>0.648934057856129*(8350/2783.333)</f>
        <v>1.9468024067183762</v>
      </c>
      <c r="N101" s="2">
        <f>0.506285146280184*(8350/2783.333)</f>
        <v>1.5188556207394273</v>
      </c>
      <c r="O101" s="2">
        <f>0.698588446312014*(8350/2783.333)</f>
        <v>2.0957655899259344</v>
      </c>
      <c r="P101" s="2">
        <f>0.504780573832192*(8350/2783.333)</f>
        <v>1.5143419028548875</v>
      </c>
      <c r="Q101" s="2">
        <f>0.426852519111178*(8350/2783.333)</f>
        <v>1.280557710693738</v>
      </c>
      <c r="R101" s="2">
        <f>0.465600556541714*(8350/2783.333)</f>
        <v>1.3968018369067996</v>
      </c>
      <c r="S101" s="2">
        <f>0.125576540007955*(8350/2783.333)</f>
        <v>0.37672966514118872</v>
      </c>
      <c r="T101" s="2">
        <f t="shared" si="16"/>
        <v>0.10069243236843764</v>
      </c>
      <c r="U101" s="2">
        <f t="shared" si="17"/>
        <v>0.11437794326585224</v>
      </c>
      <c r="V101" s="2">
        <f t="shared" si="18"/>
        <v>0.11043877033537902</v>
      </c>
      <c r="W101" s="2">
        <f t="shared" si="19"/>
        <v>0.10705744606724045</v>
      </c>
      <c r="X101" s="2">
        <f t="shared" si="20"/>
        <v>0.11728533803050227</v>
      </c>
      <c r="Y101" s="2">
        <f t="shared" si="21"/>
        <v>0.10928020503416074</v>
      </c>
      <c r="Z101" s="2">
        <f t="shared" si="22"/>
        <v>0.10579568013572224</v>
      </c>
      <c r="AA101" s="2">
        <f t="shared" si="23"/>
        <v>0.11798772791544039</v>
      </c>
      <c r="AB101" s="2">
        <f t="shared" si="24"/>
        <v>0.10026757173055721</v>
      </c>
      <c r="AC101" s="2">
        <f t="shared" si="25"/>
        <v>0.1151901624778385</v>
      </c>
      <c r="AD101" s="2">
        <f t="shared" si="26"/>
        <v>0.10227444344259566</v>
      </c>
      <c r="AE101" s="2">
        <f t="shared" si="27"/>
        <v>0.10987695088187602</v>
      </c>
      <c r="AF101" s="2">
        <f t="shared" si="28"/>
        <v>0.11908712371493149</v>
      </c>
      <c r="AG101" s="2">
        <f t="shared" si="29"/>
        <v>9.9235315312320327E-2</v>
      </c>
      <c r="AH101" s="2">
        <f t="shared" si="30"/>
        <v>0.1199891551819615</v>
      </c>
      <c r="AI101" s="2">
        <f t="shared" si="31"/>
        <v>0.10099811712417744</v>
      </c>
      <c r="AJ101" s="2">
        <f>0.309115595430224*(8350/2783.333)</f>
        <v>0.92734689735018216</v>
      </c>
      <c r="AK101" s="2">
        <f>0.684387671520718*(8350/2783.333)</f>
        <v>2.053163260449971</v>
      </c>
      <c r="AL101" s="2">
        <f>0.381709050708388*(8350/2783.333)</f>
        <v>1.1451272892661575</v>
      </c>
      <c r="AM101" s="2">
        <f>0.494085212022761*(8350/2783.333)</f>
        <v>1.4822558135839496</v>
      </c>
      <c r="AN101" s="2">
        <f>0.408690363276338*(8350/2783.333)</f>
        <v>1.226071236663892</v>
      </c>
      <c r="AO101" s="2">
        <f>0.197593436615594*(8350/2783.333)</f>
        <v>0.59278038083844553</v>
      </c>
      <c r="AP101" s="2">
        <f>0.199402854791832*(8350/2783.333)</f>
        <v>0.59820863601725005</v>
      </c>
      <c r="AQ101" s="2">
        <f>0.162788183064075*(8350/2783.333)</f>
        <v>0.48836460767900491</v>
      </c>
      <c r="AR101" s="2">
        <f>0.148966151959794*(8350/2783.333)</f>
        <v>0.44689850940016096</v>
      </c>
      <c r="AS101" s="2">
        <f>0.165606798435313*(8350/2783.333)</f>
        <v>0.49682045480539411</v>
      </c>
      <c r="AT101" s="2">
        <f>0.228710640951561*(8350/2783.333)</f>
        <v>0.68613200502618177</v>
      </c>
      <c r="AU101" s="2">
        <f>0.222588525418512*(8350/2783.333)</f>
        <v>0.66776565622747153</v>
      </c>
      <c r="AV101" s="2">
        <f>0.187268694319873*(8350/2783.333)</f>
        <v>0.56180615024179359</v>
      </c>
      <c r="AW101" s="2">
        <f>0.183877917565022*(8350/2783.333)</f>
        <v>0.55163381875899697</v>
      </c>
    </row>
    <row r="102" spans="1:49" x14ac:dyDescent="0.25">
      <c r="A102" s="5">
        <v>45724</v>
      </c>
      <c r="B102" s="2">
        <f>0.337145053259221*(8350/2783.333)</f>
        <v>1.0114352809076379</v>
      </c>
      <c r="C102" s="2">
        <f>0.250861355917825*(8350/2783.333)</f>
        <v>0.75258415788331523</v>
      </c>
      <c r="D102" s="2">
        <f>0.215949316314213*(8350/2783.333)</f>
        <v>0.64784802652922835</v>
      </c>
      <c r="E102" s="2">
        <f>0.257587317225548*(8350/2783.333)</f>
        <v>0.77276204422299566</v>
      </c>
      <c r="F102" s="2">
        <f>0.222238076182695*(8350/2783.333)</f>
        <v>0.66671430839411017</v>
      </c>
      <c r="G102" s="2">
        <f>0.261538166149344*(8350/2783.333)</f>
        <v>0.78461459241385223</v>
      </c>
      <c r="H102" s="2">
        <f>0.254506303357461*(8350/2783.333)</f>
        <v>0.76351900151178553</v>
      </c>
      <c r="I102" s="2">
        <f>0.268874582041379*(8350/2783.333)</f>
        <v>0.80662384272579479</v>
      </c>
      <c r="J102" s="2">
        <f>0.223803377966459*(8350/2783.333)</f>
        <v>0.67141021430778736</v>
      </c>
      <c r="K102" s="2">
        <f>0.300649749888014*(8350/2783.333)</f>
        <v>0.90194935768192941</v>
      </c>
      <c r="L102" s="2">
        <f>0.294150051561322*(8350/2783.333)</f>
        <v>0.88245026036663199</v>
      </c>
      <c r="M102" s="2">
        <f>0.306624646481918*(8350/2783.333)</f>
        <v>0.91987404961031172</v>
      </c>
      <c r="N102" s="2">
        <f>0.263583473043924*(8350/2783.333)</f>
        <v>0.79075051383243333</v>
      </c>
      <c r="O102" s="2">
        <f>0.220468504293093*(8350/2783.333)</f>
        <v>0.66140559208952898</v>
      </c>
      <c r="P102" s="2">
        <f>0.220275724362297*(8350/2783.333)</f>
        <v>0.66082725222788019</v>
      </c>
      <c r="Q102" s="2">
        <f>0.155647879896893*(8350/2783.333)</f>
        <v>0.46694369561208116</v>
      </c>
      <c r="R102" s="2">
        <f>0.125053386888902*(8350/2783.333)</f>
        <v>0.37516020559607077</v>
      </c>
      <c r="S102" s="2">
        <f>0.0546989836844464*(8350/2783.333)</f>
        <v>0.16409697070567114</v>
      </c>
      <c r="T102" s="2">
        <f t="shared" si="16"/>
        <v>0.10069243236843764</v>
      </c>
      <c r="U102" s="2">
        <f t="shared" si="17"/>
        <v>0.11437794326585224</v>
      </c>
      <c r="V102" s="2">
        <f t="shared" si="18"/>
        <v>0.11043877033537902</v>
      </c>
      <c r="W102" s="2">
        <f t="shared" si="19"/>
        <v>0.10705744606724045</v>
      </c>
      <c r="X102" s="2">
        <f t="shared" si="20"/>
        <v>0.11728533803050227</v>
      </c>
      <c r="Y102" s="2">
        <f t="shared" si="21"/>
        <v>0.10928020503416074</v>
      </c>
      <c r="Z102" s="2">
        <f t="shared" si="22"/>
        <v>0.10579568013572224</v>
      </c>
      <c r="AA102" s="2">
        <f t="shared" si="23"/>
        <v>0.11798772791544039</v>
      </c>
      <c r="AB102" s="2">
        <f t="shared" si="24"/>
        <v>0.10026757173055721</v>
      </c>
      <c r="AC102" s="2">
        <f t="shared" si="25"/>
        <v>0.1151901624778385</v>
      </c>
      <c r="AD102" s="2">
        <f t="shared" si="26"/>
        <v>0.10227444344259566</v>
      </c>
      <c r="AE102" s="2">
        <f t="shared" si="27"/>
        <v>0.10987695088187602</v>
      </c>
      <c r="AF102" s="2">
        <f t="shared" si="28"/>
        <v>0.11908712371493149</v>
      </c>
      <c r="AG102" s="2">
        <f t="shared" si="29"/>
        <v>9.9235315312320327E-2</v>
      </c>
      <c r="AH102" s="2">
        <f t="shared" si="30"/>
        <v>0.1199891551819615</v>
      </c>
      <c r="AI102" s="2">
        <f t="shared" si="31"/>
        <v>0.10099811712417744</v>
      </c>
      <c r="AJ102" s="2">
        <f>0.249384577970927*(8350/2783.333)</f>
        <v>0.74815382351204018</v>
      </c>
      <c r="AK102" s="2">
        <f>0.290782322109109*(8350/2783.333)</f>
        <v>0.87234707080003149</v>
      </c>
      <c r="AL102" s="2">
        <f>0.158662195776378*(8350/2783.333)</f>
        <v>0.47598664433352345</v>
      </c>
      <c r="AM102" s="2">
        <f>0.25778358888144*(8350/2783.333)</f>
        <v>0.77335085926119085</v>
      </c>
      <c r="AN102" s="2">
        <f>0.232605685481746*(8350/2783.333)</f>
        <v>0.69781714001615147</v>
      </c>
      <c r="AO102" s="2">
        <f>0.126853792389165*(8350/2783.333)</f>
        <v>0.38056142274371479</v>
      </c>
      <c r="AP102" s="2">
        <f>0.16541941086741*(8350/2783.333)</f>
        <v>0.49625829203435984</v>
      </c>
      <c r="AQ102" s="2">
        <f>0.258157326732207*(8350/2783.333)</f>
        <v>0.77447207294776721</v>
      </c>
      <c r="AR102" s="2">
        <f>0.231779571963758*(8350/2783.333)</f>
        <v>0.69533879916538288</v>
      </c>
      <c r="AS102" s="2">
        <f>0.220594686847815*(8350/2783.333)</f>
        <v>0.66178413979902972</v>
      </c>
      <c r="AT102" s="2">
        <f>0.156408567360423*(8350/2783.333)</f>
        <v>0.46922575827596941</v>
      </c>
      <c r="AU102" s="2">
        <f>0.147950048191738*(8350/2783.333)</f>
        <v>0.44385019773092715</v>
      </c>
      <c r="AV102" s="2">
        <f>0.103934899825174*(8350/2783.333)</f>
        <v>0.31180473681740578</v>
      </c>
      <c r="AW102" s="2">
        <f>0.109114368664958*(8350/2783.333)</f>
        <v>0.32734314519764651</v>
      </c>
    </row>
    <row r="103" spans="1:49" x14ac:dyDescent="0.25">
      <c r="A103" s="5">
        <v>45725</v>
      </c>
      <c r="B103" s="2">
        <f>0.30305698000725*(8350/2783.333)</f>
        <v>0.90917104890451117</v>
      </c>
      <c r="C103" s="2">
        <f>0.313816983552375*(8350/2783.333)</f>
        <v>0.94145106340575557</v>
      </c>
      <c r="D103" s="2">
        <f>0.208516278252673*(8350/2783.333)</f>
        <v>0.62554890967405519</v>
      </c>
      <c r="E103" s="2">
        <f>0.245541867139461*(8350/2783.333)</f>
        <v>0.73662568963702846</v>
      </c>
      <c r="F103" s="2">
        <f>0.202318670408851*(8350/2783.333)</f>
        <v>0.60695608391590372</v>
      </c>
      <c r="G103" s="2">
        <f>0.232162502560106*(8350/2783.333)</f>
        <v>0.69648759109200642</v>
      </c>
      <c r="H103" s="2">
        <f>0.232063908877535*(8350/2783.333)</f>
        <v>0.6961918100088702</v>
      </c>
      <c r="I103" s="2">
        <f>0.209228227619721*(8350/2783.333)</f>
        <v>0.62768475803099122</v>
      </c>
      <c r="J103" s="2">
        <f>0.185776609320831*(8350/2783.333)</f>
        <v>0.55732989470858818</v>
      </c>
      <c r="K103" s="2">
        <f>0.257176005566228*(8350/2783.333)</f>
        <v>0.77152810909726055</v>
      </c>
      <c r="L103" s="2">
        <f>0.252544669445152*(8350/2783.333)</f>
        <v>0.75763409907007884</v>
      </c>
      <c r="M103" s="2">
        <f>0.255079986081941*(8350/2783.333)</f>
        <v>0.76524004989133743</v>
      </c>
      <c r="N103" s="2">
        <f>0.198574096284212*(8350/2783.333)</f>
        <v>0.59572236019663116</v>
      </c>
      <c r="O103" s="2">
        <f>0.215961482058822*(8350/2783.333)</f>
        <v>0.647884523767426</v>
      </c>
      <c r="P103" s="2">
        <f>0.469433001625326*(8350/2783.333)</f>
        <v>1.4082991735345618</v>
      </c>
      <c r="Q103" s="2">
        <f>0.414117692574159*(8350/2783.333)</f>
        <v>1.2423532265072945</v>
      </c>
      <c r="R103" s="2">
        <f>0.261272254750027*(8350/2783.333)</f>
        <v>0.78381685812036217</v>
      </c>
      <c r="S103" s="2">
        <f>0.110938783810708*(8350/2783.333)</f>
        <v>0.33281639129037538</v>
      </c>
      <c r="T103" s="2">
        <f t="shared" si="16"/>
        <v>0.10069243236843764</v>
      </c>
      <c r="U103" s="2">
        <f t="shared" si="17"/>
        <v>0.11437794326585224</v>
      </c>
      <c r="V103" s="2">
        <f t="shared" si="18"/>
        <v>0.11043877033537902</v>
      </c>
      <c r="W103" s="2">
        <f t="shared" si="19"/>
        <v>0.10705744606724045</v>
      </c>
      <c r="X103" s="2">
        <f t="shared" si="20"/>
        <v>0.11728533803050227</v>
      </c>
      <c r="Y103" s="2">
        <f t="shared" si="21"/>
        <v>0.10928020503416074</v>
      </c>
      <c r="Z103" s="2">
        <f t="shared" si="22"/>
        <v>0.10579568013572224</v>
      </c>
      <c r="AA103" s="2">
        <f t="shared" si="23"/>
        <v>0.11798772791544039</v>
      </c>
      <c r="AB103" s="2">
        <f t="shared" si="24"/>
        <v>0.10026757173055721</v>
      </c>
      <c r="AC103" s="2">
        <f t="shared" si="25"/>
        <v>0.1151901624778385</v>
      </c>
      <c r="AD103" s="2">
        <f t="shared" si="26"/>
        <v>0.10227444344259566</v>
      </c>
      <c r="AE103" s="2">
        <f t="shared" si="27"/>
        <v>0.10987695088187602</v>
      </c>
      <c r="AF103" s="2">
        <f t="shared" si="28"/>
        <v>0.11908712371493149</v>
      </c>
      <c r="AG103" s="2">
        <f t="shared" si="29"/>
        <v>9.9235315312320327E-2</v>
      </c>
      <c r="AH103" s="2">
        <f t="shared" si="30"/>
        <v>0.1199891551819615</v>
      </c>
      <c r="AI103" s="2">
        <f t="shared" si="31"/>
        <v>0.10099811712417744</v>
      </c>
      <c r="AJ103" s="2">
        <f>0.0683723067871659*(8350/2783.333)</f>
        <v>0.20511694492640131</v>
      </c>
      <c r="AK103" s="2">
        <f>0.188558845986216*(8350/2783.333)</f>
        <v>0.56567660570435041</v>
      </c>
      <c r="AL103" s="2">
        <f>0.223909149474273*(8350/2783.333)</f>
        <v>0.67172752886922971</v>
      </c>
      <c r="AM103" s="2">
        <f>0.25910555600391*(8350/2783.333)</f>
        <v>0.77731676110355652</v>
      </c>
      <c r="AN103" s="2">
        <f>0.273909498791588*(8350/2783.333)</f>
        <v>0.82172859478537474</v>
      </c>
      <c r="AO103" s="2">
        <f>0.111482097546714*(8350/2783.333)</f>
        <v>0.33444633269359414</v>
      </c>
      <c r="AP103" s="2">
        <f>0.122107178414714*(8350/2783.333)</f>
        <v>0.36632157911499069</v>
      </c>
      <c r="AQ103" s="2">
        <f>0.125521377367825*(8350/2783.333)</f>
        <v>0.37656417720098129</v>
      </c>
      <c r="AR103" s="2">
        <f>0.116134796100234*(8350/2783.333)</f>
        <v>0.34840443002578375</v>
      </c>
      <c r="AS103" s="2">
        <f>0.170269514119414*(8350/2783.333)</f>
        <v>0.51080860353292479</v>
      </c>
      <c r="AT103" s="2">
        <f>0.249204425983063*(8350/2783.333)</f>
        <v>0.74761336748372464</v>
      </c>
      <c r="AU103" s="2">
        <f>0.123568145630992*(8350/2783.333)</f>
        <v>0.37070448128872285</v>
      </c>
      <c r="AV103" s="2">
        <f>0.159232603606973*(8350/2783.333)</f>
        <v>0.477697868030243</v>
      </c>
      <c r="AW103" s="2">
        <f>0.0719657445753215*(8350/2783.333)</f>
        <v>0.2158972595819236</v>
      </c>
    </row>
    <row r="104" spans="1:49" x14ac:dyDescent="0.25">
      <c r="A104" s="5">
        <v>45726</v>
      </c>
      <c r="B104" s="2">
        <f>0.224140755629399*(8350/2783.333)</f>
        <v>0.67242234741782059</v>
      </c>
      <c r="C104" s="2">
        <f>0.224910181167705*(8350/2783.333)</f>
        <v>0.67473062430917896</v>
      </c>
      <c r="D104" s="2">
        <f>0.16117956217655*(8350/2783.333)</f>
        <v>0.48353874443848166</v>
      </c>
      <c r="E104" s="2">
        <f>0.20569922454702*(8350/2783.333)</f>
        <v>0.61709774754498248</v>
      </c>
      <c r="F104" s="2">
        <f>0.175759462710392*(8350/2783.333)</f>
        <v>0.52727845127829476</v>
      </c>
      <c r="G104" s="2">
        <f>0.219369874868019*(8350/2783.333)</f>
        <v>0.65810970341958974</v>
      </c>
      <c r="H104" s="2">
        <f>0.212009003172069*(8350/2783.333)</f>
        <v>0.63602708568711608</v>
      </c>
      <c r="I104" s="2">
        <f>0.20410236903661*(8350/2783.333)</f>
        <v>0.61230718044003185</v>
      </c>
      <c r="J104" s="2">
        <f>0.183399936280479*(8350/2783.333)</f>
        <v>0.55019987473363841</v>
      </c>
      <c r="K104" s="2">
        <f>0.213178481192373*(8350/2783.333)</f>
        <v>0.63953552016819804</v>
      </c>
      <c r="L104" s="2">
        <f>0.265442337901165*(8350/2783.333)</f>
        <v>0.79632710907201043</v>
      </c>
      <c r="M104" s="2">
        <f>0.604878792557003*(8350/2783.333)</f>
        <v>1.8146365949927563</v>
      </c>
      <c r="N104" s="2">
        <f>0.39557220767728*(8350/2783.333)</f>
        <v>1.1867167651536068</v>
      </c>
      <c r="O104" s="2">
        <f>0.458589512337081*(8350/2783.333)</f>
        <v>1.3757687017739606</v>
      </c>
      <c r="P104" s="2">
        <f>0.429343681927295*(8350/2783.333)</f>
        <v>1.2880312000371197</v>
      </c>
      <c r="Q104" s="2">
        <f>0.366480008120868*(8350/2783.333)</f>
        <v>1.0994401560320826</v>
      </c>
      <c r="R104" s="2">
        <f>0.209911042277799*(8350/2783.333)</f>
        <v>0.62973320225054752</v>
      </c>
      <c r="S104" s="2">
        <f>0.332508188143762*(8350/2783.333)</f>
        <v>0.99752468389531945</v>
      </c>
      <c r="T104" s="2">
        <f t="shared" si="16"/>
        <v>0.10069243236843764</v>
      </c>
      <c r="U104" s="2">
        <f t="shared" si="17"/>
        <v>0.11437794326585224</v>
      </c>
      <c r="V104" s="2">
        <f t="shared" si="18"/>
        <v>0.11043877033537902</v>
      </c>
      <c r="W104" s="2">
        <f t="shared" si="19"/>
        <v>0.10705744606724045</v>
      </c>
      <c r="X104" s="2">
        <f t="shared" si="20"/>
        <v>0.11728533803050227</v>
      </c>
      <c r="Y104" s="2">
        <f t="shared" si="21"/>
        <v>0.10928020503416074</v>
      </c>
      <c r="Z104" s="2">
        <f t="shared" si="22"/>
        <v>0.10579568013572224</v>
      </c>
      <c r="AA104" s="2">
        <f t="shared" si="23"/>
        <v>0.11798772791544039</v>
      </c>
      <c r="AB104" s="2">
        <f t="shared" si="24"/>
        <v>0.10026757173055721</v>
      </c>
      <c r="AC104" s="2">
        <f t="shared" si="25"/>
        <v>0.1151901624778385</v>
      </c>
      <c r="AD104" s="2">
        <f t="shared" si="26"/>
        <v>0.10227444344259566</v>
      </c>
      <c r="AE104" s="2">
        <f t="shared" si="27"/>
        <v>0.10987695088187602</v>
      </c>
      <c r="AF104" s="2">
        <f t="shared" si="28"/>
        <v>0.11908712371493149</v>
      </c>
      <c r="AG104" s="2">
        <f t="shared" si="29"/>
        <v>9.9235315312320327E-2</v>
      </c>
      <c r="AH104" s="2">
        <f t="shared" si="30"/>
        <v>0.1199891551819615</v>
      </c>
      <c r="AI104" s="2">
        <f t="shared" si="31"/>
        <v>0.10099811712417744</v>
      </c>
      <c r="AJ104" s="2">
        <f>0.0782264086522785*(8350/2783.333)</f>
        <v>0.23467925406213541</v>
      </c>
      <c r="AK104" s="2">
        <f>0.365426443970108*(8350/2783.333)</f>
        <v>1.0962794632012771</v>
      </c>
      <c r="AL104" s="2">
        <f>0.218447950706608*(8350/2783.333)</f>
        <v>0.6553439306041261</v>
      </c>
      <c r="AM104" s="2">
        <f>0.476899639430665*(8350/2783.333)</f>
        <v>1.4306990896332037</v>
      </c>
      <c r="AN104" s="2">
        <f>0.255586754541357*(8350/2783.333)</f>
        <v>0.76676035545165944</v>
      </c>
      <c r="AO104" s="2">
        <f>0.119690284113072*(8350/2783.333)</f>
        <v>0.35907089534171693</v>
      </c>
      <c r="AP104" s="2">
        <f>0.121940592905281*(8350/2783.333)</f>
        <v>0.36582182252683909</v>
      </c>
      <c r="AQ104" s="2">
        <f>0.146356909643456*(8350/2783.333)</f>
        <v>0.4390707815136945</v>
      </c>
      <c r="AR104" s="2">
        <f>0.22638934935995*(8350/2783.333)</f>
        <v>0.67916812941735083</v>
      </c>
      <c r="AS104" s="2">
        <f>0.195994842031696*(8350/2783.333)</f>
        <v>0.58798459651240376</v>
      </c>
      <c r="AT104" s="2">
        <f>0.197724037983931*(8350/2783.333)</f>
        <v>0.59317218499037661</v>
      </c>
      <c r="AU104" s="2">
        <f>0.0910589422166641*(8350/2783.333)</f>
        <v>0.27317685936578379</v>
      </c>
      <c r="AV104" s="2">
        <f>0.0765183912274751*(8350/2783.333)</f>
        <v>0.22955520117406625</v>
      </c>
      <c r="AW104" s="2">
        <f>0.0710331431337406*(8350/2783.333)</f>
        <v>0.21309945492211463</v>
      </c>
    </row>
    <row r="105" spans="1:49" x14ac:dyDescent="0.25">
      <c r="A105" s="5">
        <v>45727</v>
      </c>
      <c r="B105" s="2">
        <f>0.212933717847929*(8350/2783.333)</f>
        <v>0.63880123004692946</v>
      </c>
      <c r="C105" s="2">
        <f>0.221546139996394*(8350/2783.333)</f>
        <v>0.66463849958660592</v>
      </c>
      <c r="D105" s="2">
        <f>0.15374652411501*(8350/2783.333)</f>
        <v>0.46123962758330872</v>
      </c>
      <c r="E105" s="2">
        <f>0.196896780253342*(8350/2783.333)</f>
        <v>0.59069041150139112</v>
      </c>
      <c r="F105" s="2">
        <f>0.176540615877993*(8350/2783.333)</f>
        <v>0.52962191106175371</v>
      </c>
      <c r="G105" s="2">
        <f>0.212262859483526*(8350/2783.333)</f>
        <v>0.6367886547126923</v>
      </c>
      <c r="H105" s="2">
        <f>0.220603962760126*(8350/2783.333)</f>
        <v>0.6618119675392965</v>
      </c>
      <c r="I105" s="2">
        <f>0.211558163339317*(8350/2783.333)</f>
        <v>0.63467456602688188</v>
      </c>
      <c r="J105" s="2">
        <f>0.163198215437489*(8350/2783.333)</f>
        <v>0.48959470494656371</v>
      </c>
      <c r="K105" s="2">
        <f>0.228891882754464*(8350/2783.333)</f>
        <v>0.68667573050000574</v>
      </c>
      <c r="L105" s="2">
        <f>0.231741978387067*(8350/2783.333)</f>
        <v>0.69522601842180232</v>
      </c>
      <c r="M105" s="2">
        <f>0.308386857093883*(8350/2783.333)</f>
        <v>0.92516068207933666</v>
      </c>
      <c r="N105" s="2">
        <f>0.255703548588202*(8350/2783.333)</f>
        <v>0.76711073763415449</v>
      </c>
      <c r="O105" s="2">
        <f>0.466852386433244*(8350/2783.333)</f>
        <v>1.4005573270311487</v>
      </c>
      <c r="P105" s="2">
        <f>0.285366985377379*(8350/2783.333)</f>
        <v>0.85610105865921016</v>
      </c>
      <c r="Q105" s="2">
        <f>0.115085099075279*(8350/2783.333)</f>
        <v>0.3452553385737811</v>
      </c>
      <c r="R105" s="2">
        <f>0.177158964759277*(8350/2783.333)</f>
        <v>0.53147695792776706</v>
      </c>
      <c r="S105" s="2">
        <f>0.051155105868271*(8350/2783.333)</f>
        <v>0.15346533598389528</v>
      </c>
      <c r="T105" s="2">
        <f t="shared" si="16"/>
        <v>0.10069243236843764</v>
      </c>
      <c r="U105" s="2">
        <f t="shared" si="17"/>
        <v>0.11437794326585224</v>
      </c>
      <c r="V105" s="2">
        <f t="shared" si="18"/>
        <v>0.11043877033537902</v>
      </c>
      <c r="W105" s="2">
        <f t="shared" si="19"/>
        <v>0.10705744606724045</v>
      </c>
      <c r="X105" s="2">
        <f t="shared" si="20"/>
        <v>0.11728533803050227</v>
      </c>
      <c r="Y105" s="2">
        <f t="shared" si="21"/>
        <v>0.10928020503416074</v>
      </c>
      <c r="Z105" s="2">
        <f t="shared" si="22"/>
        <v>0.10579568013572224</v>
      </c>
      <c r="AA105" s="2">
        <f t="shared" si="23"/>
        <v>0.11798772791544039</v>
      </c>
      <c r="AB105" s="2">
        <f t="shared" si="24"/>
        <v>0.10026757173055721</v>
      </c>
      <c r="AC105" s="2">
        <f t="shared" si="25"/>
        <v>0.1151901624778385</v>
      </c>
      <c r="AD105" s="2">
        <f t="shared" si="26"/>
        <v>0.10227444344259566</v>
      </c>
      <c r="AE105" s="2">
        <f t="shared" si="27"/>
        <v>0.10987695088187602</v>
      </c>
      <c r="AF105" s="2">
        <f t="shared" si="28"/>
        <v>0.11908712371493149</v>
      </c>
      <c r="AG105" s="2">
        <f t="shared" si="29"/>
        <v>9.9235315312320327E-2</v>
      </c>
      <c r="AH105" s="2">
        <f t="shared" si="30"/>
        <v>0.1199891551819615</v>
      </c>
      <c r="AI105" s="2">
        <f t="shared" si="31"/>
        <v>0.10099811712417744</v>
      </c>
      <c r="AJ105" s="2">
        <f>0.0595794158921424*(8350/2783.333)</f>
        <v>0.1787382690822078</v>
      </c>
      <c r="AK105" s="2">
        <f>0.339645743247032*(8350/2783.333)</f>
        <v>1.0189373517695213</v>
      </c>
      <c r="AL105" s="2">
        <f>0.187405347185142*(8350/2783.333)</f>
        <v>0.56221610888669771</v>
      </c>
      <c r="AM105" s="2">
        <f>0.375438662781175*(8350/2783.333)</f>
        <v>1.1263161232316834</v>
      </c>
      <c r="AN105" s="2">
        <f>0.205897956574629*(8350/2783.333)</f>
        <v>0.61769394369920982</v>
      </c>
      <c r="AO105" s="2">
        <f>0.11655624924228*(8350/2783.333)</f>
        <v>0.34966878960334263</v>
      </c>
      <c r="AP105" s="2">
        <f>0.120108152301513*(8350/2783.333)</f>
        <v>0.36032450005717342</v>
      </c>
      <c r="AQ105" s="2">
        <f>0.138734153932859*(8350/2783.333)</f>
        <v>0.41620251164318944</v>
      </c>
      <c r="AR105" s="2">
        <f>0.247950239775183*(8350/2783.333)</f>
        <v>0.74385080840947937</v>
      </c>
      <c r="AS105" s="2">
        <f>0.187151760561849*(8350/2783.333)</f>
        <v>0.5614553489257077</v>
      </c>
      <c r="AT105" s="2">
        <f>0.133291577844888*(8350/2783.333)</f>
        <v>0.39987478142386057</v>
      </c>
      <c r="AU105" s="2">
        <f>0.0905613523684856*(8350/2783.333)</f>
        <v>0.27168408964247348</v>
      </c>
      <c r="AV105" s="2">
        <f>0.0670697639706412*(8350/2783.333)</f>
        <v>0.20120931600884759</v>
      </c>
      <c r="AW105" s="2">
        <f>0.0679244716618045*(8350/2783.333)</f>
        <v>0.20377343938941814</v>
      </c>
    </row>
    <row r="106" spans="1:49" x14ac:dyDescent="0.25">
      <c r="A106" s="5">
        <v>45728</v>
      </c>
      <c r="B106" s="2">
        <f>0.189118762562306*(8350/2783.333)</f>
        <v>0.56735635563378639</v>
      </c>
      <c r="C106" s="2">
        <f>0.181658223250839*(8350/2783.333)</f>
        <v>0.54497473501895211</v>
      </c>
      <c r="D106" s="2">
        <f>0.174089575651856*(8350/2783.333)</f>
        <v>0.52226878950272904</v>
      </c>
      <c r="E106" s="2">
        <f>0.201066359129294*(8350/2783.333)</f>
        <v>0.60319914962730259</v>
      </c>
      <c r="F106" s="2">
        <f>0.163651588612565*(8350/2783.333)</f>
        <v>0.4909548246346791</v>
      </c>
      <c r="G106" s="2">
        <f>0.202313037945236*(8350/2783.333)</f>
        <v>0.60693918652303458</v>
      </c>
      <c r="H106" s="2">
        <f>0.201026554809552*(8350/2783.333)</f>
        <v>0.60307973665377446</v>
      </c>
      <c r="I106" s="2">
        <f>0.195714600446065*(8350/2783.333)</f>
        <v>0.58714387165482507</v>
      </c>
      <c r="J106" s="2">
        <f>0.170328234558544*(8350/2783.333)</f>
        <v>0.51098476487141342</v>
      </c>
      <c r="K106" s="2">
        <f>0.229939442858603*(8350/2783.333)</f>
        <v>0.68981841118879295</v>
      </c>
      <c r="L106" s="2">
        <f>0.358222340020224*(8350/2783.333)</f>
        <v>1.0746671487633237</v>
      </c>
      <c r="M106" s="2">
        <f>0.510600524816873*(8350/2783.333)</f>
        <v>1.5318017578999308</v>
      </c>
      <c r="N106" s="2">
        <f>0.34356470626951*(8350/2783.333)</f>
        <v>1.030694242244965</v>
      </c>
      <c r="O106" s="2">
        <f>0.390608593636825*(8350/2783.333)</f>
        <v>1.1718259212489093</v>
      </c>
      <c r="P106" s="2">
        <f>0.224155335945978*(8350/2783.333)</f>
        <v>0.67246608837279398</v>
      </c>
      <c r="Q106" s="2">
        <f>0.130178226822856*(8350/2783.333)</f>
        <v>0.39053472723919525</v>
      </c>
      <c r="R106" s="2">
        <f>0.169343128078721*(8350/2783.333)</f>
        <v>0.5080294450780124</v>
      </c>
      <c r="S106" s="2">
        <f>0.109706130657256*(8350/2783.333)</f>
        <v>0.32911843138714869</v>
      </c>
      <c r="T106" s="2">
        <f t="shared" si="16"/>
        <v>0.10069243236843764</v>
      </c>
      <c r="U106" s="2">
        <f t="shared" si="17"/>
        <v>0.11437794326585224</v>
      </c>
      <c r="V106" s="2">
        <f t="shared" si="18"/>
        <v>0.11043877033537902</v>
      </c>
      <c r="W106" s="2">
        <f t="shared" si="19"/>
        <v>0.10705744606724045</v>
      </c>
      <c r="X106" s="2">
        <f t="shared" si="20"/>
        <v>0.11728533803050227</v>
      </c>
      <c r="Y106" s="2">
        <f t="shared" si="21"/>
        <v>0.10928020503416074</v>
      </c>
      <c r="Z106" s="2">
        <f t="shared" si="22"/>
        <v>0.10579568013572224</v>
      </c>
      <c r="AA106" s="2">
        <f t="shared" si="23"/>
        <v>0.11798772791544039</v>
      </c>
      <c r="AB106" s="2">
        <f t="shared" si="24"/>
        <v>0.10026757173055721</v>
      </c>
      <c r="AC106" s="2">
        <f t="shared" si="25"/>
        <v>0.1151901624778385</v>
      </c>
      <c r="AD106" s="2">
        <f t="shared" si="26"/>
        <v>0.10227444344259566</v>
      </c>
      <c r="AE106" s="2">
        <f t="shared" si="27"/>
        <v>0.10987695088187602</v>
      </c>
      <c r="AF106" s="2">
        <f t="shared" si="28"/>
        <v>0.11908712371493149</v>
      </c>
      <c r="AG106" s="2">
        <f t="shared" si="29"/>
        <v>9.9235315312320327E-2</v>
      </c>
      <c r="AH106" s="2">
        <f t="shared" si="30"/>
        <v>0.1199891551819615</v>
      </c>
      <c r="AI106" s="2">
        <f t="shared" si="31"/>
        <v>0.10099811712417744</v>
      </c>
      <c r="AJ106" s="2">
        <f>0.183134693123939*(8350/2783.333)</f>
        <v>0.54940414516871994</v>
      </c>
      <c r="AK106" s="2">
        <f>0.211641566401063*(8350/2783.333)</f>
        <v>0.63492477524208513</v>
      </c>
      <c r="AL106" s="2">
        <f>0.254951752995738*(8350/2783.333)</f>
        <v>0.76485535058665777</v>
      </c>
      <c r="AM106" s="2">
        <f>0.398903579204999*(8350/2783.333)</f>
        <v>1.196710880933664</v>
      </c>
      <c r="AN106" s="2">
        <f>0.273288388817004*(8350/2783.333)</f>
        <v>0.8198652646384692</v>
      </c>
      <c r="AO106" s="2">
        <f>0.117003968509536*(8350/2783.333)</f>
        <v>0.35101194756596726</v>
      </c>
      <c r="AP106" s="2">
        <f>0.151759399093867*(8350/2783.333)</f>
        <v>0.45527825180594339</v>
      </c>
      <c r="AQ106" s="2">
        <f>0.157706345923677*(8350/2783.333)</f>
        <v>0.47311909443200184</v>
      </c>
      <c r="AR106" s="2">
        <f>0.161053317798637*(8350/2783.333)</f>
        <v>0.48316001125938479</v>
      </c>
      <c r="AS106" s="2">
        <f>0.216253537762617*(8350/2783.333)</f>
        <v>0.64876069098374334</v>
      </c>
      <c r="AT106" s="2">
        <f>0.154769064557902*(8350/2783.333)</f>
        <v>0.46430724927936579</v>
      </c>
      <c r="AU106" s="2">
        <f>0.181122704736971*(8350/2783.333)</f>
        <v>0.54336817928494674</v>
      </c>
      <c r="AV106" s="2">
        <f>0.076208600169874*(8350/2783.333)</f>
        <v>0.22862582788996078</v>
      </c>
      <c r="AW106" s="2">
        <f>0.0665255694994332*(8350/2783.333)</f>
        <v>0.19957673239970478</v>
      </c>
    </row>
    <row r="107" spans="1:49" x14ac:dyDescent="0.25">
      <c r="A107" s="5">
        <v>45729</v>
      </c>
      <c r="B107" s="2">
        <f>0.207797158864756*(8350/2783.333)</f>
        <v>0.62339155125193768</v>
      </c>
      <c r="C107" s="2">
        <f>0.230677108889954*(8350/2783.333)</f>
        <v>0.69203140954787601</v>
      </c>
      <c r="D107" s="2">
        <f>0.185043526479389*(8350/2783.333)</f>
        <v>0.55513064592087824</v>
      </c>
      <c r="E107" s="2">
        <f>0.316887994572436*(8350/2783.333)</f>
        <v>0.95066409756929682</v>
      </c>
      <c r="F107" s="2">
        <f>0.281605716920427*(8350/2783.333)</f>
        <v>0.84481725193700097</v>
      </c>
      <c r="G107" s="2">
        <f>0.343505743583831*(8350/2783.333)</f>
        <v>1.0305173541667441</v>
      </c>
      <c r="H107" s="2">
        <f>0.344275881277167*(8350/2783.333)</f>
        <v>1.0328277675234478</v>
      </c>
      <c r="I107" s="2">
        <f>0.295435849244774*(8350/2783.333)</f>
        <v>0.88630765387895005</v>
      </c>
      <c r="J107" s="2">
        <f>0.166367112824625*(8350/2783.333)</f>
        <v>0.49910139824649691</v>
      </c>
      <c r="K107" s="2">
        <f>0.232034563066882*(8350/2783.333)</f>
        <v>0.69610377256636757</v>
      </c>
      <c r="L107" s="2">
        <f>0.214683771719437*(8350/2783.333)</f>
        <v>0.64405139229021524</v>
      </c>
      <c r="M107" s="2">
        <f>0.244947275063142*(8350/2783.333)</f>
        <v>0.73484191319444492</v>
      </c>
      <c r="N107" s="2">
        <f>0.421575958381165*(8350/2783.333)</f>
        <v>1.2647280266079279</v>
      </c>
      <c r="O107" s="2">
        <f>0.451077808613295*(8350/2783.333)</f>
        <v>1.3532335879037884</v>
      </c>
      <c r="P107" s="2">
        <f>0.266831063366462*(8350/2783.333)</f>
        <v>0.80049328596684444</v>
      </c>
      <c r="Q107" s="2">
        <f>0.383931437079004*(8350/2783.333)</f>
        <v>1.1517944491764673</v>
      </c>
      <c r="R107" s="2">
        <f>0.0893238477777869*(8350/2783.333)</f>
        <v>0.26797157542576494</v>
      </c>
      <c r="S107" s="2">
        <f>0.166562257360244*(8350/2783.333)</f>
        <v>0.49968683192346608</v>
      </c>
      <c r="T107" s="2">
        <f t="shared" si="16"/>
        <v>0.10069243236843764</v>
      </c>
      <c r="U107" s="2">
        <f t="shared" si="17"/>
        <v>0.11437794326585224</v>
      </c>
      <c r="V107" s="2">
        <f t="shared" si="18"/>
        <v>0.11043877033537902</v>
      </c>
      <c r="W107" s="2">
        <f t="shared" si="19"/>
        <v>0.10705744606724045</v>
      </c>
      <c r="X107" s="2">
        <f t="shared" si="20"/>
        <v>0.11728533803050227</v>
      </c>
      <c r="Y107" s="2">
        <f t="shared" si="21"/>
        <v>0.10928020503416074</v>
      </c>
      <c r="Z107" s="2">
        <f t="shared" si="22"/>
        <v>0.10579568013572224</v>
      </c>
      <c r="AA107" s="2">
        <f t="shared" si="23"/>
        <v>0.11798772791544039</v>
      </c>
      <c r="AB107" s="2">
        <f t="shared" si="24"/>
        <v>0.10026757173055721</v>
      </c>
      <c r="AC107" s="2">
        <f t="shared" si="25"/>
        <v>0.1151901624778385</v>
      </c>
      <c r="AD107" s="2">
        <f t="shared" si="26"/>
        <v>0.10227444344259566</v>
      </c>
      <c r="AE107" s="2">
        <f t="shared" si="27"/>
        <v>0.10987695088187602</v>
      </c>
      <c r="AF107" s="2">
        <f t="shared" si="28"/>
        <v>0.11908712371493149</v>
      </c>
      <c r="AG107" s="2">
        <f t="shared" si="29"/>
        <v>9.9235315312320327E-2</v>
      </c>
      <c r="AH107" s="2">
        <f t="shared" si="30"/>
        <v>0.1199891551819615</v>
      </c>
      <c r="AI107" s="2">
        <f t="shared" si="31"/>
        <v>0.10099811712417744</v>
      </c>
      <c r="AJ107" s="2">
        <f>0.179647857079361*(8350/2783.333)</f>
        <v>0.53894363578222948</v>
      </c>
      <c r="AK107" s="2">
        <f>0.315963471652579*(8350/2783.333)</f>
        <v>0.94789052847756017</v>
      </c>
      <c r="AL107" s="2">
        <f>0.347504700531959*(8350/2783.333)</f>
        <v>1.0425142264478802</v>
      </c>
      <c r="AM107" s="2">
        <f>0.349660303893031*(8350/2783.333)</f>
        <v>1.0489810373055641</v>
      </c>
      <c r="AN107" s="2">
        <f>0.209935171409426*(8350/2783.333)</f>
        <v>0.62980558965409683</v>
      </c>
      <c r="AO107" s="2">
        <f>0.257737058183634*(8350/2783.333)</f>
        <v>0.77321126715105382</v>
      </c>
      <c r="AP107" s="2">
        <f>0.146262077282564*(8350/2783.333)</f>
        <v>0.43878628439694672</v>
      </c>
      <c r="AQ107" s="2">
        <f>0.130942003650916*(8350/2783.333)</f>
        <v>0.39282605799778458</v>
      </c>
      <c r="AR107" s="2">
        <f>0.497860560497206*(8350/2783.333)</f>
        <v>1.4935818603636974</v>
      </c>
      <c r="AS107" s="2">
        <f>0.110779693322263*(8350/2783.333)</f>
        <v>0.33233911976788028</v>
      </c>
      <c r="AT107" s="2">
        <f>0.198871689945695*(8350/2783.333)</f>
        <v>0.59661514128799886</v>
      </c>
      <c r="AU107" s="2">
        <f>0.0963665672639013*(8350/2783.333)</f>
        <v>0.28909973641442693</v>
      </c>
      <c r="AV107" s="2">
        <f>0.0752792269970707*(8350/2783.333)</f>
        <v>0.22583770803764414</v>
      </c>
      <c r="AW107" s="2">
        <f>0.0772504860776129*(8350/2783.333)</f>
        <v>0.23175148598750761</v>
      </c>
    </row>
    <row r="108" spans="1:49" x14ac:dyDescent="0.25">
      <c r="A108" s="5">
        <v>45730</v>
      </c>
      <c r="B108" s="2">
        <f>0.226942515074767*(8350/2783.333)</f>
        <v>0.68082762676054309</v>
      </c>
      <c r="C108" s="2">
        <f>0.234041150061266*(8350/2783.333)</f>
        <v>0.70212353427044938</v>
      </c>
      <c r="D108" s="2">
        <f>0.190520501893155*(8350/2783.333)</f>
        <v>0.57156157412995257</v>
      </c>
      <c r="E108" s="2">
        <f>0.225620545843241*(8350/2783.333)</f>
        <v>0.67686171859100541</v>
      </c>
      <c r="F108" s="2">
        <f>0.190210796311024*(8350/2783.333)</f>
        <v>0.57063245727228751</v>
      </c>
      <c r="G108" s="2">
        <f>0.210841456406627*(8350/2783.333)</f>
        <v>0.63252444497131211</v>
      </c>
      <c r="H108" s="2">
        <f>0.228721424593291*(8350/2783.333)</f>
        <v>0.68616435595524494</v>
      </c>
      <c r="I108" s="2">
        <f>0.212956124771075*(8350/2783.333)</f>
        <v>0.63886845082441668</v>
      </c>
      <c r="J108" s="2">
        <f>0.165971000651233*(8350/2783.333)</f>
        <v>0.4979130615840055</v>
      </c>
      <c r="K108" s="2">
        <f>0.255080885357949*(8350/2783.333)</f>
        <v>0.76524274771968637</v>
      </c>
      <c r="L108" s="2">
        <f>0.252544669445152*(8350/2783.333)</f>
        <v>0.75763409907007884</v>
      </c>
      <c r="M108" s="2">
        <f>0.459496417069886*(8350/2783.333)</f>
        <v>1.3784894162982122</v>
      </c>
      <c r="N108" s="2">
        <f>0.344352698715082*(8350/2783.333)</f>
        <v>1.0330582198647933</v>
      </c>
      <c r="O108" s="2">
        <f>0.281688889641941*(8350/2783.333)</f>
        <v>0.84506677013142506</v>
      </c>
      <c r="P108" s="2">
        <f>0.209067957564998*(8350/2783.333)</f>
        <v>0.62720394780924049</v>
      </c>
      <c r="Q108" s="2">
        <f>0.35940510448919*(8350/2783.333)</f>
        <v>1.0782154425951691</v>
      </c>
      <c r="R108" s="2">
        <f>0.288069409083363*(8350/2783.333)</f>
        <v>0.86420833074809145</v>
      </c>
      <c r="S108" s="2">
        <f>0.449147992789187*(8350/2783.333)</f>
        <v>1.3474441397381163</v>
      </c>
      <c r="T108" s="2">
        <f t="shared" si="16"/>
        <v>0.10069243236843764</v>
      </c>
      <c r="U108" s="2">
        <f t="shared" si="17"/>
        <v>0.11437794326585224</v>
      </c>
      <c r="V108" s="2">
        <f t="shared" si="18"/>
        <v>0.11043877033537902</v>
      </c>
      <c r="W108" s="2">
        <f t="shared" si="19"/>
        <v>0.10705744606724045</v>
      </c>
      <c r="X108" s="2">
        <f t="shared" si="20"/>
        <v>0.11728533803050227</v>
      </c>
      <c r="Y108" s="2">
        <f t="shared" si="21"/>
        <v>0.10928020503416074</v>
      </c>
      <c r="Z108" s="2">
        <f t="shared" si="22"/>
        <v>0.10579568013572224</v>
      </c>
      <c r="AA108" s="2">
        <f t="shared" si="23"/>
        <v>0.11798772791544039</v>
      </c>
      <c r="AB108" s="2">
        <f t="shared" si="24"/>
        <v>0.10026757173055721</v>
      </c>
      <c r="AC108" s="2">
        <f t="shared" si="25"/>
        <v>0.1151901624778385</v>
      </c>
      <c r="AD108" s="2">
        <f t="shared" si="26"/>
        <v>0.10227444344259566</v>
      </c>
      <c r="AE108" s="2">
        <f t="shared" si="27"/>
        <v>0.10987695088187602</v>
      </c>
      <c r="AF108" s="2">
        <f t="shared" si="28"/>
        <v>0.11908712371493149</v>
      </c>
      <c r="AG108" s="2">
        <f t="shared" si="29"/>
        <v>9.9235315312320327E-2</v>
      </c>
      <c r="AH108" s="2">
        <f t="shared" si="30"/>
        <v>0.1199891551819615</v>
      </c>
      <c r="AI108" s="2">
        <f t="shared" si="31"/>
        <v>0.10099811712417744</v>
      </c>
      <c r="AJ108" s="2">
        <f>0.109759534620639*(8350/2783.333)</f>
        <v>0.32927864329648443</v>
      </c>
      <c r="AK108" s="2">
        <f>0.25720745605115*(8350/2783.333)</f>
        <v>0.77162246056332695</v>
      </c>
      <c r="AL108" s="2">
        <f>0.23770586215048*(8350/2783.333)</f>
        <v>0.71311767185475339</v>
      </c>
      <c r="AM108" s="2">
        <f>0.34734686142871*(8350/2783.333)</f>
        <v>1.042040709081425</v>
      </c>
      <c r="AN108" s="2">
        <f>0.762412493801983*(8350/2783.333)</f>
        <v>2.2872377553266379</v>
      </c>
      <c r="AO108" s="2">
        <f>0.215949926573085*(8350/2783.333)</f>
        <v>0.64784985730606515</v>
      </c>
      <c r="AP108" s="2">
        <f>0.157756477433471*(8350/2783.333)</f>
        <v>0.47326948897939436</v>
      </c>
      <c r="AQ108" s="2">
        <f>0.14517114764403*(8350/2783.333)</f>
        <v>0.43551349508939363</v>
      </c>
      <c r="AR108" s="2">
        <f>0.224265928334207*(8350/2783.333)</f>
        <v>0.67279786557721688</v>
      </c>
      <c r="AS108" s="2">
        <f>0.215931971163714*(8350/2783.333)</f>
        <v>0.64779599107149954</v>
      </c>
      <c r="AT108" s="2">
        <f>0.179853457436461*(8350/2783.333)</f>
        <v>0.53956043692739886</v>
      </c>
      <c r="AU108" s="2">
        <f>0.15607734904532*(8350/2783.333)</f>
        <v>0.46823210321166192</v>
      </c>
      <c r="AV108" s="2">
        <f>0.0980488697307526*(8350/2783.333)</f>
        <v>0.29414664441940075</v>
      </c>
      <c r="AW108" s="2">
        <f>0.0949699134676488*(8350/2783.333)</f>
        <v>0.28490977452387761</v>
      </c>
    </row>
    <row r="109" spans="1:49" x14ac:dyDescent="0.25">
      <c r="A109" s="5">
        <v>45731</v>
      </c>
      <c r="B109" s="2">
        <f>0.269902826570402*(8350/2783.333)</f>
        <v>0.80970857668229212</v>
      </c>
      <c r="C109" s="2">
        <f>0.236444036612203*(8350/2783.333)</f>
        <v>0.70933219478657272</v>
      </c>
      <c r="D109" s="2">
        <f>0.181131401183841*(8350/2783.333)</f>
        <v>0.54339426862868179</v>
      </c>
      <c r="E109" s="2">
        <f>0.18948419558498*(8350/2783.333)</f>
        <v>0.56845265483310348</v>
      </c>
      <c r="F109" s="2">
        <f>0.175759462710392*(8350/2783.333)</f>
        <v>0.52727845127829476</v>
      </c>
      <c r="G109" s="2">
        <f>0.211789058457893*(8350/2783.333)</f>
        <v>0.63536725146556505</v>
      </c>
      <c r="H109" s="2">
        <f>0.217261478475882*(8350/2783.333)</f>
        <v>0.6517845134856709</v>
      </c>
      <c r="I109" s="2">
        <f>0.208296253331883*(8350/2783.333)</f>
        <v>0.62488883483263546</v>
      </c>
      <c r="J109" s="2">
        <f>0.1774582536796*(8350/2783.333)</f>
        <v>0.53237482479626341</v>
      </c>
      <c r="K109" s="2">
        <f>0.230987002962743*(8350/2783.333)</f>
        <v>0.69296109187758037</v>
      </c>
      <c r="L109" s="2">
        <f>0.232990139850552*(8350/2783.333)</f>
        <v>0.69897050326069887</v>
      </c>
      <c r="M109" s="2">
        <f>0.285918671791329*(8350/2783.333)</f>
        <v>0.8577561180992711</v>
      </c>
      <c r="N109" s="2">
        <f>0.405422113246933*(8350/2783.333)</f>
        <v>1.2162664854014555</v>
      </c>
      <c r="O109" s="2">
        <f>0.274177185918156*(8350/2783.333)</f>
        <v>0.82253165626125413</v>
      </c>
      <c r="P109" s="2">
        <f>0.245708733633091*(8350/2783.333)</f>
        <v>0.73712628917786982</v>
      </c>
      <c r="Q109" s="2">
        <f>0.344783636983725*(8350/2783.333)</f>
        <v>1.0343510348255498</v>
      </c>
      <c r="R109" s="2">
        <f>0.00856020207870458*(8350/2783.333)</f>
        <v>2.5680609311635804E-2</v>
      </c>
      <c r="S109" s="2">
        <f>0.0126346948228862*(8350/2783.333)</f>
        <v>3.7904089008070518E-2</v>
      </c>
      <c r="T109" s="2">
        <f t="shared" si="16"/>
        <v>0.10069243236843764</v>
      </c>
      <c r="U109" s="2">
        <f t="shared" si="17"/>
        <v>0.11437794326585224</v>
      </c>
      <c r="V109" s="2">
        <f t="shared" si="18"/>
        <v>0.11043877033537902</v>
      </c>
      <c r="W109" s="2">
        <f t="shared" si="19"/>
        <v>0.10705744606724045</v>
      </c>
      <c r="X109" s="2">
        <f t="shared" si="20"/>
        <v>0.11728533803050227</v>
      </c>
      <c r="Y109" s="2">
        <f t="shared" si="21"/>
        <v>0.10928020503416074</v>
      </c>
      <c r="Z109" s="2">
        <f t="shared" si="22"/>
        <v>0.10579568013572224</v>
      </c>
      <c r="AA109" s="2">
        <f t="shared" si="23"/>
        <v>0.11798772791544039</v>
      </c>
      <c r="AB109" s="2">
        <f t="shared" si="24"/>
        <v>0.10026757173055721</v>
      </c>
      <c r="AC109" s="2">
        <f t="shared" si="25"/>
        <v>0.1151901624778385</v>
      </c>
      <c r="AD109" s="2">
        <f t="shared" si="26"/>
        <v>0.10227444344259566</v>
      </c>
      <c r="AE109" s="2">
        <f t="shared" si="27"/>
        <v>0.10987695088187602</v>
      </c>
      <c r="AF109" s="2">
        <f t="shared" si="28"/>
        <v>0.11908712371493149</v>
      </c>
      <c r="AG109" s="2">
        <f t="shared" si="29"/>
        <v>9.9235315312320327E-2</v>
      </c>
      <c r="AH109" s="2">
        <f t="shared" si="30"/>
        <v>0.1199891551819615</v>
      </c>
      <c r="AI109" s="2">
        <f t="shared" si="31"/>
        <v>0.10099811712417744</v>
      </c>
      <c r="AJ109" s="2">
        <f>0.0641274629068097*(8350/2783.333)</f>
        <v>0.19238241176023888</v>
      </c>
      <c r="AK109" s="2">
        <f>0.395703778540231*(8350/2783.333)</f>
        <v>1.1871114777897336</v>
      </c>
      <c r="AL109" s="2">
        <f>0.300365932221586*(8350/2783.333)</f>
        <v>0.90109790458067351</v>
      </c>
      <c r="AM109" s="2">
        <f>0.217133099865521*(8350/2783.333)</f>
        <v>0.65139937760846511</v>
      </c>
      <c r="AN109" s="2">
        <f>0.240990670138631*(8350/2783.333)</f>
        <v>0.72297209699937703</v>
      </c>
      <c r="AO109" s="2">
        <f>0.142225487231617*(8350/2783.333)</f>
        <v>0.42667651279383545</v>
      </c>
      <c r="AP109" s="2">
        <f>0.132935236527888*(8350/2783.333)</f>
        <v>0.39880575734483287</v>
      </c>
      <c r="AQ109" s="2">
        <f>0.164143339634848*(8350/2783.333)</f>
        <v>0.49243007787820603</v>
      </c>
      <c r="AR109" s="2">
        <f>0.205318479181427*(8350/2783.333)</f>
        <v>0.61595551131140658</v>
      </c>
      <c r="AS109" s="2">
        <f>0.176700846097484*(8350/2783.333)</f>
        <v>0.53010260177779445</v>
      </c>
      <c r="AT109" s="2">
        <f>0.169524589780584*(8350/2783.333)</f>
        <v>0.50857383024879665</v>
      </c>
      <c r="AU109" s="2">
        <f>0.262561576555518*(8350/2783.333)</f>
        <v>0.78768482400006534</v>
      </c>
      <c r="AV109" s="2">
        <f>0.147615438946931*(8350/2783.333)</f>
        <v>0.44284636987628578</v>
      </c>
      <c r="AW109" s="2">
        <f>0.212011394386044*(8350/2783.333)</f>
        <v>0.6360342593299001</v>
      </c>
    </row>
    <row r="110" spans="1:49" x14ac:dyDescent="0.25">
      <c r="A110" s="5">
        <v>45732</v>
      </c>
      <c r="B110" s="2">
        <f>0.328739774923119*(8350/2783.333)</f>
        <v>0.98621944287946994</v>
      </c>
      <c r="C110" s="2">
        <f>0.324870261686685*(8350/2783.333)</f>
        <v>0.97461090177992493</v>
      </c>
      <c r="D110" s="2">
        <f>0.260156332153897*(8350/2783.333)</f>
        <v>0.78046908993104425</v>
      </c>
      <c r="E110" s="2">
        <f>0.277971925063541*(8350/2783.333)</f>
        <v>0.83391587506078668</v>
      </c>
      <c r="F110" s="2">
        <f>0.23786113953473*(8350/2783.333)</f>
        <v>0.71358350406329252</v>
      </c>
      <c r="G110" s="2">
        <f>0.290913829738582*(8350/2783.333)</f>
        <v>0.87274159373569848</v>
      </c>
      <c r="H110" s="2">
        <f>0.328518455365729*(8350/2783.333)</f>
        <v>0.98555548412778349</v>
      </c>
      <c r="I110" s="2">
        <f>0.312211386425865*(8350/2783.333)</f>
        <v>0.93663427144936362</v>
      </c>
      <c r="J110" s="2">
        <f>0.250739005757113*(8350/2783.333)</f>
        <v>0.75221710735722092</v>
      </c>
      <c r="K110" s="2">
        <f>0.310601570877339*(8350/2783.333)</f>
        <v>0.93180482422540856</v>
      </c>
      <c r="L110" s="2">
        <f>0.324938034327288*(8350/2783.333)</f>
        <v>0.97481421972608095</v>
      </c>
      <c r="M110" s="2">
        <f>0.320722331377639*(8350/2783.333)</f>
        <v>0.96216710936251026</v>
      </c>
      <c r="N110" s="2">
        <f>0.250187601469196*(8350/2783.333)</f>
        <v>0.75056289429535905</v>
      </c>
      <c r="O110" s="2">
        <f>0.203191585728387*(8350/2783.333)</f>
        <v>0.6095748301881343</v>
      </c>
      <c r="P110" s="2">
        <f>0.448741739845697*(8350/2783.333)</f>
        <v>1.3462253807616884</v>
      </c>
      <c r="Q110" s="2">
        <f>0.249979928319253*(8350/2783.333)</f>
        <v>0.74993987477091861</v>
      </c>
      <c r="R110" s="2">
        <f>0.132497040870384*(8350/2783.333)</f>
        <v>0.39749117021488439</v>
      </c>
      <c r="S110" s="2">
        <f>0.0938357213065574*(8350/2783.333)</f>
        <v>0.28150719763310911</v>
      </c>
      <c r="T110" s="2">
        <f t="shared" si="16"/>
        <v>0.10069243236843764</v>
      </c>
      <c r="U110" s="2">
        <f t="shared" si="17"/>
        <v>0.11437794326585224</v>
      </c>
      <c r="V110" s="2">
        <f t="shared" si="18"/>
        <v>0.11043877033537902</v>
      </c>
      <c r="W110" s="2">
        <f t="shared" si="19"/>
        <v>0.10705744606724045</v>
      </c>
      <c r="X110" s="2">
        <f t="shared" si="20"/>
        <v>0.11728533803050227</v>
      </c>
      <c r="Y110" s="2">
        <f t="shared" si="21"/>
        <v>0.10928020503416074</v>
      </c>
      <c r="Z110" s="2">
        <f t="shared" si="22"/>
        <v>0.10579568013572224</v>
      </c>
      <c r="AA110" s="2">
        <f t="shared" si="23"/>
        <v>0.11798772791544039</v>
      </c>
      <c r="AB110" s="2">
        <f t="shared" si="24"/>
        <v>0.10026757173055721</v>
      </c>
      <c r="AC110" s="2">
        <f t="shared" si="25"/>
        <v>0.1151901624778385</v>
      </c>
      <c r="AD110" s="2">
        <f t="shared" si="26"/>
        <v>0.10227444344259566</v>
      </c>
      <c r="AE110" s="2">
        <f t="shared" si="27"/>
        <v>0.10987695088187602</v>
      </c>
      <c r="AF110" s="2">
        <f t="shared" si="28"/>
        <v>0.11908712371493149</v>
      </c>
      <c r="AG110" s="2">
        <f t="shared" si="29"/>
        <v>9.9235315312320327E-2</v>
      </c>
      <c r="AH110" s="2">
        <f t="shared" si="30"/>
        <v>0.1199891551819615</v>
      </c>
      <c r="AI110" s="2">
        <f t="shared" si="31"/>
        <v>0.10099811712417744</v>
      </c>
      <c r="AJ110" s="2">
        <f>0.0351715635800942*(8350/2783.333)</f>
        <v>0.10551470337677407</v>
      </c>
      <c r="AK110" s="2">
        <f>0.184361987728971*(8350/2783.333)</f>
        <v>0.55308602942476237</v>
      </c>
      <c r="AL110" s="2">
        <f>0.2279331906715*(8350/2783.333)</f>
        <v>0.68379965390667374</v>
      </c>
      <c r="AM110" s="2">
        <f>0.258775064223292*(8350/2783.333)</f>
        <v>0.77632528564296488</v>
      </c>
      <c r="AN110" s="2">
        <f>0.250617874744684*(8350/2783.333)</f>
        <v>0.75185371427641379</v>
      </c>
      <c r="AO110" s="2">
        <f>0.139688411383834*(8350/2783.333)</f>
        <v>0.41906528433896123</v>
      </c>
      <c r="AP110" s="2">
        <f>0.194571875018262*(8350/2783.333)</f>
        <v>0.5837156949608584</v>
      </c>
      <c r="AQ110" s="2">
        <f>0.167870020204473*(8350/2783.333)</f>
        <v>0.50361012092600865</v>
      </c>
      <c r="AR110" s="2">
        <f>0.253503802457895*(8350/2783.333)</f>
        <v>0.760511498452906</v>
      </c>
      <c r="AS110" s="2">
        <f>0.149046118591782*(8350/2783.333)</f>
        <v>0.44713840932485488</v>
      </c>
      <c r="AT110" s="2">
        <f>0.353968655064101*(8350/2783.333)</f>
        <v>1.0619060923666856</v>
      </c>
      <c r="AU110" s="2">
        <f>0.302534627692523*(8350/2783.333)</f>
        <v>0.90760399177265894</v>
      </c>
      <c r="AV110" s="2">
        <f>0.0839533766099019*(8350/2783.333)</f>
        <v>0.25186015999259903</v>
      </c>
      <c r="AW110" s="2">
        <f>0.0711885767073374*(8350/2783.333)</f>
        <v>0.21356575569874953</v>
      </c>
    </row>
    <row r="111" spans="1:49" x14ac:dyDescent="0.25">
      <c r="A111" s="5">
        <v>45733</v>
      </c>
      <c r="B111" s="2">
        <f>0.219471156553787*(8350/2783.333)</f>
        <v>0.65841354851328271</v>
      </c>
      <c r="C111" s="2">
        <f>0.219143253445456*(8350/2783.333)</f>
        <v>0.65742983907048191</v>
      </c>
      <c r="D111" s="2">
        <f>0.154920161703674*(8350/2783.333)</f>
        <v>0.46476054077096784</v>
      </c>
      <c r="E111" s="2">
        <f>0.216354815007789*(8350/2783.333)</f>
        <v>0.64906452275564575</v>
      </c>
      <c r="F111" s="2">
        <f>0.180836958299803*(8350/2783.333)</f>
        <v>0.5425109398707787</v>
      </c>
      <c r="G111" s="2">
        <f>0.221738879996183*(8350/2783.333)</f>
        <v>0.66521671965522255</v>
      </c>
      <c r="H111" s="2">
        <f>0.226333935818831*(8350/2783.333)</f>
        <v>0.67900188877408363</v>
      </c>
      <c r="I111" s="2">
        <f>0.213422111914994*(8350/2783.333)</f>
        <v>0.64026641242359483</v>
      </c>
      <c r="J111" s="2">
        <f>0.165178776304449*(8350/2783.333)</f>
        <v>0.49553638825902196</v>
      </c>
      <c r="K111" s="2">
        <f>0.243557724212416*(8350/2783.333)</f>
        <v>0.73067326014302647</v>
      </c>
      <c r="L111" s="2">
        <f>0.243807539200756*(8350/2783.333)</f>
        <v>0.73142270519780239</v>
      </c>
      <c r="M111" s="2">
        <f>0.235695669350325*(8350/2783.333)</f>
        <v>0.70708709273206483</v>
      </c>
      <c r="N111" s="2">
        <f>0.219061899869091*(8350/2783.333)</f>
        <v>0.65718577831215697</v>
      </c>
      <c r="O111" s="2">
        <f>0.20168924498363*(8350/2783.333)</f>
        <v>0.60506780741410016</v>
      </c>
      <c r="P111" s="2">
        <f>0.346578634808781*(8350/2783.333)</f>
        <v>1.0397360289456274</v>
      </c>
      <c r="Q111" s="2">
        <f>0.340538694804718*(8350/2783.333)</f>
        <v>1.0216162067634014</v>
      </c>
      <c r="R111" s="2">
        <f>0.100861511449084*(8350/2783.333)</f>
        <v>0.30258457058492633</v>
      </c>
      <c r="S111" s="2">
        <f>0.119259192596511*(8350/2783.333)</f>
        <v>0.35777762063715313</v>
      </c>
      <c r="T111" s="2">
        <f t="shared" si="16"/>
        <v>0.10069243236843764</v>
      </c>
      <c r="U111" s="2">
        <f t="shared" si="17"/>
        <v>0.11437794326585224</v>
      </c>
      <c r="V111" s="2">
        <f t="shared" si="18"/>
        <v>0.11043877033537902</v>
      </c>
      <c r="W111" s="2">
        <f t="shared" si="19"/>
        <v>0.10705744606724045</v>
      </c>
      <c r="X111" s="2">
        <f t="shared" si="20"/>
        <v>0.11728533803050227</v>
      </c>
      <c r="Y111" s="2">
        <f t="shared" si="21"/>
        <v>0.10928020503416074</v>
      </c>
      <c r="Z111" s="2">
        <f t="shared" si="22"/>
        <v>0.10579568013572224</v>
      </c>
      <c r="AA111" s="2">
        <f t="shared" si="23"/>
        <v>0.11798772791544039</v>
      </c>
      <c r="AB111" s="2">
        <f t="shared" si="24"/>
        <v>0.10026757173055721</v>
      </c>
      <c r="AC111" s="2">
        <f t="shared" si="25"/>
        <v>0.1151901624778385</v>
      </c>
      <c r="AD111" s="2">
        <f t="shared" si="26"/>
        <v>0.10227444344259566</v>
      </c>
      <c r="AE111" s="2">
        <f t="shared" si="27"/>
        <v>0.10987695088187602</v>
      </c>
      <c r="AF111" s="2">
        <f t="shared" si="28"/>
        <v>0.11908712371493149</v>
      </c>
      <c r="AG111" s="2">
        <f t="shared" si="29"/>
        <v>9.9235315312320327E-2</v>
      </c>
      <c r="AH111" s="2">
        <f t="shared" si="30"/>
        <v>0.1199891551819615</v>
      </c>
      <c r="AI111" s="2">
        <f t="shared" si="31"/>
        <v>0.10099811712417744</v>
      </c>
      <c r="AJ111" s="2">
        <f>0.0498769155941853*(8350/2783.333)</f>
        <v>0.14963076470240805</v>
      </c>
      <c r="AK111" s="2">
        <f>0.141793853976916*(8350/2783.333)</f>
        <v>0.42538161287465459</v>
      </c>
      <c r="AL111" s="2">
        <f>0.170734319368059*(8350/2783.333)</f>
        <v>0.51220301944585656</v>
      </c>
      <c r="AM111" s="2">
        <f>0.27331670257045*(8350/2783.333)</f>
        <v>0.8199502059089806</v>
      </c>
      <c r="AN111" s="2">
        <f>0.268940618994915*(8350/2783.333)</f>
        <v>0.80682195361012954</v>
      </c>
      <c r="AO111" s="2">
        <f>0.131181745305972*(8350/2783.333)</f>
        <v>0.39354528304908848</v>
      </c>
      <c r="AP111" s="2">
        <f>0.195238217055996*(8350/2783.333)</f>
        <v>0.58571472131346392</v>
      </c>
      <c r="AQ111" s="2">
        <f>0.199885594188979*(8350/2783.333)</f>
        <v>0.59965685438212879</v>
      </c>
      <c r="AR111" s="2">
        <f>0.320309894729338*(8350/2783.333)</f>
        <v>0.96092979926942579</v>
      </c>
      <c r="AS111" s="2">
        <f>0.169787164221059*(8350/2783.333)</f>
        <v>0.50936155366455949</v>
      </c>
      <c r="AT111" s="2">
        <f>0.150014506430594*(8350/2783.333)</f>
        <v>0.4500435731892159</v>
      </c>
      <c r="AU111" s="2">
        <f>0.0799461022740111*(8350/2783.333)</f>
        <v>0.23983833554518721</v>
      </c>
      <c r="AV111" s="2">
        <f>0.0681540326722451*(8350/2783.333)</f>
        <v>0.20446212250321694</v>
      </c>
      <c r="AW111" s="2">
        <f>0.0817580597119203*(8350/2783.333)</f>
        <v>0.24527420850991755</v>
      </c>
    </row>
    <row r="112" spans="1:49" x14ac:dyDescent="0.25">
      <c r="A112" s="5">
        <v>45734</v>
      </c>
      <c r="B112" s="2">
        <f>0.207797158864756*(8350/2783.333)</f>
        <v>0.62339155125193768</v>
      </c>
      <c r="C112" s="2">
        <f>0.218182098825082*(8350/2783.333)</f>
        <v>0.65454637486403244</v>
      </c>
      <c r="D112" s="2">
        <f>0.174480788181411*(8350/2783.333)</f>
        <v>0.52344242723194823</v>
      </c>
      <c r="E112" s="2">
        <f>0.203382791838157*(8350/2783.333)</f>
        <v>0.61014844858614203</v>
      </c>
      <c r="F112" s="2">
        <f>0.175759462710392*(8350/2783.333)</f>
        <v>0.52727845127829476</v>
      </c>
      <c r="G112" s="2">
        <f>0.203260639996501*(8350/2783.333)</f>
        <v>0.60978199301728742</v>
      </c>
      <c r="H112" s="2">
        <f>0.190044106447035*(8350/2783.333)</f>
        <v>0.57013238762043317</v>
      </c>
      <c r="I112" s="2">
        <f>0.204568356180529*(8350/2783.333)</f>
        <v>0.61370514203920967</v>
      </c>
      <c r="J112" s="2">
        <f>0.166763224998017*(8350/2783.333)</f>
        <v>0.50028973490898843</v>
      </c>
      <c r="K112" s="2">
        <f>0.200607759942699*(8350/2783.333)</f>
        <v>0.60182335190275105</v>
      </c>
      <c r="L112" s="2">
        <f>0.278756060178339*(8350/2783.333)</f>
        <v>0.83626828068690717</v>
      </c>
      <c r="M112" s="2">
        <f>0.49562173461517*(8350/2783.333)</f>
        <v>1.48686538191322</v>
      </c>
      <c r="N112" s="2">
        <f>0.34553468738344*(8350/2783.333)</f>
        <v>1.0366041862945348</v>
      </c>
      <c r="O112" s="2">
        <f>0.279810963710995*(8350/2783.333)</f>
        <v>0.83943299166388252</v>
      </c>
      <c r="P112" s="2">
        <f>0.452621351429378*(8350/2783.333)</f>
        <v>1.3578642169066029</v>
      </c>
      <c r="Q112" s="2">
        <f>0.182060853455154*(8350/2783.333)</f>
        <v>0.54618262577655541</v>
      </c>
      <c r="R112" s="2">
        <f>0.132869223569458*(8350/2783.333)</f>
        <v>0.39860771844582527</v>
      </c>
      <c r="S112" s="2">
        <f>0.0320489819897602*(8350/2783.333)</f>
        <v>9.6146957483886186E-2</v>
      </c>
      <c r="T112" s="2">
        <f t="shared" si="16"/>
        <v>0.10069243236843764</v>
      </c>
      <c r="U112" s="2">
        <f t="shared" si="17"/>
        <v>0.11437794326585224</v>
      </c>
      <c r="V112" s="2">
        <f t="shared" si="18"/>
        <v>0.11043877033537902</v>
      </c>
      <c r="W112" s="2">
        <f t="shared" si="19"/>
        <v>0.10705744606724045</v>
      </c>
      <c r="X112" s="2">
        <f t="shared" si="20"/>
        <v>0.11728533803050227</v>
      </c>
      <c r="Y112" s="2">
        <f t="shared" si="21"/>
        <v>0.10928020503416074</v>
      </c>
      <c r="Z112" s="2">
        <f t="shared" si="22"/>
        <v>0.10579568013572224</v>
      </c>
      <c r="AA112" s="2">
        <f t="shared" si="23"/>
        <v>0.11798772791544039</v>
      </c>
      <c r="AB112" s="2">
        <f t="shared" si="24"/>
        <v>0.10026757173055721</v>
      </c>
      <c r="AC112" s="2">
        <f t="shared" si="25"/>
        <v>0.1151901624778385</v>
      </c>
      <c r="AD112" s="2">
        <f t="shared" si="26"/>
        <v>0.10227444344259566</v>
      </c>
      <c r="AE112" s="2">
        <f t="shared" si="27"/>
        <v>0.10987695088187602</v>
      </c>
      <c r="AF112" s="2">
        <f t="shared" si="28"/>
        <v>0.11908712371493149</v>
      </c>
      <c r="AG112" s="2">
        <f t="shared" si="29"/>
        <v>9.9235315312320327E-2</v>
      </c>
      <c r="AH112" s="2">
        <f t="shared" si="30"/>
        <v>0.1199891551819615</v>
      </c>
      <c r="AI112" s="2">
        <f t="shared" si="31"/>
        <v>0.10099811712417744</v>
      </c>
      <c r="AJ112" s="2">
        <f>0.0711011349959663*(8350/2783.333)</f>
        <v>0.21330343053321998</v>
      </c>
      <c r="AK112" s="2">
        <f>0.260504987538986*(8350/2783.333)</f>
        <v>0.78151505621157502</v>
      </c>
      <c r="AL112" s="2">
        <f>0.289730966200343*(8350/2783.333)</f>
        <v>0.86919300269599908</v>
      </c>
      <c r="AM112" s="2">
        <f>0.233657688896383*(8350/2783.333)</f>
        <v>0.70097315063802834</v>
      </c>
      <c r="AN112" s="2">
        <f>0.450615286560765*(8350/2783.333)</f>
        <v>1.351846021580021</v>
      </c>
      <c r="AO112" s="2">
        <f>0.233709457507568*(8350/2783.333)</f>
        <v>0.70112845649018529</v>
      </c>
      <c r="AP112" s="2">
        <f>0.140931340980693*(8350/2783.333)</f>
        <v>0.42279407357610099</v>
      </c>
      <c r="AQ112" s="2">
        <f>0.127215323081291*(8350/2783.333)</f>
        <v>0.38164601494998196</v>
      </c>
      <c r="AR112" s="2">
        <f>0.179020726477998*(8350/2783.333)</f>
        <v>0.5370622437528253</v>
      </c>
      <c r="AS112" s="2">
        <f>0.199692857919086*(8350/2783.333)</f>
        <v>0.59907864550320378</v>
      </c>
      <c r="AT112" s="2">
        <f>0.191493927334354*(8350/2783.333)</f>
        <v>0.57448185080328273</v>
      </c>
      <c r="AU112" s="2">
        <f>0.114611528363779*(8350/2783.333)</f>
        <v>0.34383462626913774</v>
      </c>
      <c r="AV112" s="2">
        <f>0.0771379733426774*(8350/2783.333)</f>
        <v>0.2314139477422773</v>
      </c>
      <c r="AW112" s="2">
        <f>0.0624842965859163*(8350/2783.333)</f>
        <v>0.18745291220719934</v>
      </c>
    </row>
    <row r="113" spans="1:49" x14ac:dyDescent="0.25">
      <c r="A113" s="5">
        <v>45735</v>
      </c>
      <c r="B113" s="2">
        <f>0.183048283764009*(8350/2783.333)</f>
        <v>0.54914491705788648</v>
      </c>
      <c r="C113" s="2">
        <f>0.213376325723208*(8350/2783.333)</f>
        <v>0.6401290538317852</v>
      </c>
      <c r="D113" s="2">
        <f>0.171351087944973*(8350/2783.333)</f>
        <v>0.51405332539819149</v>
      </c>
      <c r="E113" s="2">
        <f>0.195506920628024*(8350/2783.333)</f>
        <v>0.58652083212608686</v>
      </c>
      <c r="F113" s="2">
        <f>0.159745822774556*(8350/2783.333)</f>
        <v>0.47923752571738337</v>
      </c>
      <c r="G113" s="2">
        <f>0.197101226663274*(8350/2783.333)</f>
        <v>0.59130375080464248</v>
      </c>
      <c r="H113" s="2">
        <f>0.203891541338904*(8350/2783.333)</f>
        <v>0.61167469727116797</v>
      </c>
      <c r="I113" s="2">
        <f>0.205966317612287*(8350/2783.333)</f>
        <v>0.61789902683674447</v>
      </c>
      <c r="J113" s="2">
        <f>0.173101019772288*(8350/2783.333)</f>
        <v>0.51930312150885516</v>
      </c>
      <c r="K113" s="2">
        <f>0.222606522129627*(8350/2783.333)</f>
        <v>0.66781964636728264</v>
      </c>
      <c r="L113" s="2">
        <f>0.242143323916109*(8350/2783.333)</f>
        <v>0.72643005874594024</v>
      </c>
      <c r="M113" s="2">
        <f>0.532628157466436*(8350/2783.333)</f>
        <v>1.5978846637627409</v>
      </c>
      <c r="N113" s="2">
        <f>0.36799247208225*(8350/2783.333)</f>
        <v>1.1039775484596297</v>
      </c>
      <c r="O113" s="2">
        <f>0.258402608098207*(8350/2783.333)</f>
        <v>0.77520791713389392</v>
      </c>
      <c r="P113" s="2">
        <f>0.433223293510976*(8350/2783.333)</f>
        <v>1.2996700361820337</v>
      </c>
      <c r="Q113" s="2">
        <f>0.130649887064968*(8350/2783.333)</f>
        <v>0.39194970813498936</v>
      </c>
      <c r="R113" s="2">
        <f>0.0457784719861158*(8350/2783.333)</f>
        <v>0.13733543240570453</v>
      </c>
      <c r="S113" s="2">
        <f>0*(8350/2783.333)</f>
        <v>0</v>
      </c>
      <c r="T113" s="2">
        <f t="shared" si="16"/>
        <v>0.10069243236843764</v>
      </c>
      <c r="U113" s="2">
        <f t="shared" si="17"/>
        <v>0.11437794326585224</v>
      </c>
      <c r="V113" s="2">
        <f t="shared" si="18"/>
        <v>0.11043877033537902</v>
      </c>
      <c r="W113" s="2">
        <f t="shared" si="19"/>
        <v>0.10705744606724045</v>
      </c>
      <c r="X113" s="2">
        <f t="shared" si="20"/>
        <v>0.11728533803050227</v>
      </c>
      <c r="Y113" s="2">
        <f t="shared" si="21"/>
        <v>0.10928020503416074</v>
      </c>
      <c r="Z113" s="2">
        <f t="shared" si="22"/>
        <v>0.10579568013572224</v>
      </c>
      <c r="AA113" s="2">
        <f t="shared" si="23"/>
        <v>0.11798772791544039</v>
      </c>
      <c r="AB113" s="2">
        <f t="shared" si="24"/>
        <v>0.10026757173055721</v>
      </c>
      <c r="AC113" s="2">
        <f t="shared" si="25"/>
        <v>0.1151901624778385</v>
      </c>
      <c r="AD113" s="2">
        <f t="shared" si="26"/>
        <v>0.10227444344259566</v>
      </c>
      <c r="AE113" s="2">
        <f t="shared" si="27"/>
        <v>0.10987695088187602</v>
      </c>
      <c r="AF113" s="2">
        <f t="shared" si="28"/>
        <v>0.11908712371493149</v>
      </c>
      <c r="AG113" s="2">
        <f t="shared" si="29"/>
        <v>9.9235315312320327E-2</v>
      </c>
      <c r="AH113" s="2">
        <f t="shared" si="30"/>
        <v>0.1199891551819615</v>
      </c>
      <c r="AI113" s="2">
        <f t="shared" si="31"/>
        <v>0.10099811712417744</v>
      </c>
      <c r="AJ113" s="2">
        <f>0.0394164074604504*(8350/2783.333)</f>
        <v>0.11824923654293637</v>
      </c>
      <c r="AK113" s="2">
        <f>0.217337302607324*(8350/2783.333)</f>
        <v>0.65201198590724008</v>
      </c>
      <c r="AL113" s="2">
        <f>0.150614113381924*(8350/2783.333)</f>
        <v>0.45184239425863448</v>
      </c>
      <c r="AM113" s="2">
        <f>0.22803932862589*(8350/2783.333)</f>
        <v>0.68411806780797724</v>
      </c>
      <c r="AN113" s="2">
        <f>0.38322485431839*(8350/2783.333)</f>
        <v>1.1496747006407624</v>
      </c>
      <c r="AO113" s="2">
        <f>0.16222361450238*(8350/2783.333)</f>
        <v>0.48667090179107969</v>
      </c>
      <c r="AP113" s="2">
        <f>0.183910402414522*(8350/2783.333)</f>
        <v>0.5517312733191676</v>
      </c>
      <c r="AQ113" s="2">
        <f>0.135176867934581*(8350/2783.333)</f>
        <v>0.40553065237028763</v>
      </c>
      <c r="AR113" s="2">
        <f>0.19306797326368*(8350/2783.333)</f>
        <v>0.57920398915678839</v>
      </c>
      <c r="AS113" s="2">
        <f>0.159336249756694*(8350/2783.333)</f>
        <v>0.47800880651664623</v>
      </c>
      <c r="AT113" s="2">
        <f>0.174443098188144*(8350/2783.333)</f>
        <v>0.52332935723860741</v>
      </c>
      <c r="AU113" s="2">
        <f>0.110464946295625*(8350/2783.333)</f>
        <v>0.33139487857488503</v>
      </c>
      <c r="AV113" s="2">
        <f>0.0851925408403063*(8350/2783.333)</f>
        <v>0.2555776531290212</v>
      </c>
      <c r="AW113" s="2">
        <f>0.0721211781489183*(8350/2783.333)</f>
        <v>0.21636356035855847</v>
      </c>
    </row>
    <row r="114" spans="1:49" x14ac:dyDescent="0.25">
      <c r="A114" s="5">
        <v>45736</v>
      </c>
      <c r="B114" s="2">
        <f>0.212933717847929*(8350/2783.333)</f>
        <v>0.63880123004692946</v>
      </c>
      <c r="C114" s="2">
        <f>0.217701521514894*(8350/2783.333)</f>
        <v>0.65310464276080815</v>
      </c>
      <c r="D114" s="2">
        <f>0.176436850829185*(8350/2783.333)</f>
        <v>0.52931061587804673</v>
      </c>
      <c r="E114" s="2">
        <f>0.289090802066082*(8350/2783.333)</f>
        <v>0.86727251006321815</v>
      </c>
      <c r="F114" s="2">
        <f>0.256999392140973*(8350/2783.333)</f>
        <v>0.77099826875804023</v>
      </c>
      <c r="G114" s="2">
        <f>0.305127860507569*(8350/2783.333)</f>
        <v>0.91538369114949492</v>
      </c>
      <c r="H114" s="2">
        <f>0.286021155180337*(8350/2783.333)</f>
        <v>0.85806356830311381</v>
      </c>
      <c r="I114" s="2">
        <f>0.267942607753541*(8350/2783.333)</f>
        <v>0.80382791952743871</v>
      </c>
      <c r="J114" s="2">
        <f>0.176269917159424*(8350/2783.333)</f>
        <v>0.52880981480878875</v>
      </c>
      <c r="K114" s="2">
        <f>0.227844322650324*(8350/2783.333)</f>
        <v>0.68353304981121865</v>
      </c>
      <c r="L114" s="2">
        <f>0.241727270094948*(8350/2783.333)</f>
        <v>0.72518189713297476</v>
      </c>
      <c r="M114" s="2">
        <f>0.392532413815214*(8350/2783.333)</f>
        <v>1.1775973824752701</v>
      </c>
      <c r="N114" s="2">
        <f>0.505497153834611*(8350/2783.333)</f>
        <v>1.5164916431195987</v>
      </c>
      <c r="O114" s="2">
        <f>0.291078519296673*(8350/2783.333)</f>
        <v>0.87323566246913942</v>
      </c>
      <c r="P114" s="2">
        <f>0.184928152155431*(8350/2783.333)</f>
        <v>0.55478452290755442</v>
      </c>
      <c r="Q114" s="2">
        <f>0.0396194603373911*(8350/2783.333)</f>
        <v>0.11885839524671162</v>
      </c>
      <c r="R114" s="2">
        <f>0.0774140014074153*(8350/2783.333)</f>
        <v>0.23224203203566288</v>
      </c>
      <c r="S114" s="2">
        <f>0.076578577158225*(8350/2783.333)</f>
        <v>0.22973575898793963</v>
      </c>
      <c r="T114" s="2">
        <f t="shared" si="16"/>
        <v>0.10069243236843764</v>
      </c>
      <c r="U114" s="2">
        <f t="shared" si="17"/>
        <v>0.11437794326585224</v>
      </c>
      <c r="V114" s="2">
        <f t="shared" si="18"/>
        <v>0.11043877033537902</v>
      </c>
      <c r="W114" s="2">
        <f t="shared" si="19"/>
        <v>0.10705744606724045</v>
      </c>
      <c r="X114" s="2">
        <f t="shared" si="20"/>
        <v>0.11728533803050227</v>
      </c>
      <c r="Y114" s="2">
        <f t="shared" si="21"/>
        <v>0.10928020503416074</v>
      </c>
      <c r="Z114" s="2">
        <f t="shared" si="22"/>
        <v>0.10579568013572224</v>
      </c>
      <c r="AA114" s="2">
        <f t="shared" si="23"/>
        <v>0.11798772791544039</v>
      </c>
      <c r="AB114" s="2">
        <f t="shared" si="24"/>
        <v>0.10026757173055721</v>
      </c>
      <c r="AC114" s="2">
        <f t="shared" si="25"/>
        <v>0.1151901624778385</v>
      </c>
      <c r="AD114" s="2">
        <f t="shared" si="26"/>
        <v>0.10227444344259566</v>
      </c>
      <c r="AE114" s="2">
        <f t="shared" si="27"/>
        <v>0.10987695088187602</v>
      </c>
      <c r="AF114" s="2">
        <f t="shared" si="28"/>
        <v>0.11908712371493149</v>
      </c>
      <c r="AG114" s="2">
        <f t="shared" si="29"/>
        <v>9.9235315312320327E-2</v>
      </c>
      <c r="AH114" s="2">
        <f t="shared" si="30"/>
        <v>0.1199891551819615</v>
      </c>
      <c r="AI114" s="2">
        <f t="shared" si="31"/>
        <v>0.10099811712417744</v>
      </c>
      <c r="AJ114" s="2">
        <f>0.00197082037302252*(8350/2783.333)</f>
        <v>5.9124618271468206E-3</v>
      </c>
      <c r="AK114" s="2">
        <f>0.324357188167068*(8350/2783.333)</f>
        <v>0.9730716810367358</v>
      </c>
      <c r="AL114" s="2">
        <f>0.235406410037779*(8350/2783.333)</f>
        <v>0.70621931469049926</v>
      </c>
      <c r="AM114" s="2">
        <f>0.392624235373271*(8350/2783.333)</f>
        <v>1.1778728471824298</v>
      </c>
      <c r="AN114" s="2">
        <f>0.416764792945931*(8350/2783.333)</f>
        <v>1.2502945285736653</v>
      </c>
      <c r="AO114" s="2">
        <f>0.128196950190933*(8350/2783.333)</f>
        <v>0.38459089663158935</v>
      </c>
      <c r="AP114" s="2">
        <f>0.140931340980693*(8350/2783.333)</f>
        <v>0.42279407357610099</v>
      </c>
      <c r="AQ114" s="2">
        <f>0.135854446219967*(8350/2783.333)</f>
        <v>0.40756338746988779</v>
      </c>
      <c r="AR114" s="2">
        <f>0.216098924389043*(8350/2783.333)</f>
        <v>0.64829685080747101</v>
      </c>
      <c r="AS114" s="2">
        <f>0.14615201920165*(8350/2783.333)</f>
        <v>0.43845611011466351</v>
      </c>
      <c r="AT114" s="2">
        <f>0.165917683615039*(8350/2783.333)</f>
        <v>0.49775311045626913</v>
      </c>
      <c r="AU114" s="2">
        <f>0.116601887756493*(8350/2783.333)</f>
        <v>0.34980570516237874</v>
      </c>
      <c r="AV114" s="2">
        <f>0.101456571364365*(8350/2783.333)</f>
        <v>0.3043697505445615</v>
      </c>
      <c r="AW114" s="2">
        <f>0.0673027373674173*(8350/2783.333)</f>
        <v>0.20190823628287885</v>
      </c>
    </row>
    <row r="115" spans="1:49" x14ac:dyDescent="0.25">
      <c r="A115" s="5">
        <v>45737</v>
      </c>
      <c r="B115" s="2">
        <f>0.209198038587439*(8350/2783.333)</f>
        <v>0.62759419092329938</v>
      </c>
      <c r="C115" s="2">
        <f>0.210012284551896*(8350/2783.333)</f>
        <v>0.63003692910921216</v>
      </c>
      <c r="D115" s="2">
        <f>0.168221387708535*(8350/2783.333)</f>
        <v>0.50466422356443441</v>
      </c>
      <c r="E115" s="2">
        <f>0.198286639878659*(8350/2783.333)</f>
        <v>0.59485999087669439</v>
      </c>
      <c r="F115" s="2">
        <f>0.169119660785777*(8350/2783.333)</f>
        <v>0.50735904311889246</v>
      </c>
      <c r="G115" s="2">
        <f>0.2046820430734*(8350/2783.333)</f>
        <v>0.61404620275866673</v>
      </c>
      <c r="H115" s="2">
        <f>0.189089110937251*(8350/2783.333)</f>
        <v>0.56726740074796833</v>
      </c>
      <c r="I115" s="2">
        <f>0.194316639014307*(8350/2783.333)</f>
        <v>0.58294998685729005</v>
      </c>
      <c r="J115" s="2">
        <f>0.170328234558544*(8350/2783.333)</f>
        <v>0.51098476487141342</v>
      </c>
      <c r="K115" s="2">
        <f>0.186989478588887*(8350/2783.333)</f>
        <v>0.56096850294851697</v>
      </c>
      <c r="L115" s="2">
        <f>0.237150678062169*(8350/2783.333)</f>
        <v>0.71145211939035391</v>
      </c>
      <c r="M115" s="2">
        <f>0.581088949295475*(8350/2783.333)</f>
        <v>1.7432670566609216</v>
      </c>
      <c r="N115" s="2">
        <f>0.308105046218758*(8350/2783.333)</f>
        <v>0.92431524935270992</v>
      </c>
      <c r="O115" s="2">
        <f>0.430796208559076*(8350/2783.333)</f>
        <v>1.2923887804543261</v>
      </c>
      <c r="P115" s="2">
        <f>0.25691650043039*(8350/2783.333)</f>
        <v>0.77074959359651007</v>
      </c>
      <c r="Q115" s="2">
        <f>0.252338229529812*(8350/2783.333)</f>
        <v>0.75701477924988947</v>
      </c>
      <c r="R115" s="2">
        <f>0.0658763377361178*(8350/2783.333)</f>
        <v>0.19762903687650166</v>
      </c>
      <c r="S115" s="2">
        <f>0.160090828304619*(8350/2783.333)</f>
        <v>0.48027254243152762</v>
      </c>
      <c r="T115" s="2">
        <f t="shared" si="16"/>
        <v>0.10069243236843764</v>
      </c>
      <c r="U115" s="2">
        <f t="shared" si="17"/>
        <v>0.11437794326585224</v>
      </c>
      <c r="V115" s="2">
        <f t="shared" si="18"/>
        <v>0.11043877033537902</v>
      </c>
      <c r="W115" s="2">
        <f t="shared" si="19"/>
        <v>0.10705744606724045</v>
      </c>
      <c r="X115" s="2">
        <f t="shared" si="20"/>
        <v>0.11728533803050227</v>
      </c>
      <c r="Y115" s="2">
        <f t="shared" si="21"/>
        <v>0.10928020503416074</v>
      </c>
      <c r="Z115" s="2">
        <f t="shared" si="22"/>
        <v>0.10579568013572224</v>
      </c>
      <c r="AA115" s="2">
        <f t="shared" si="23"/>
        <v>0.11798772791544039</v>
      </c>
      <c r="AB115" s="2">
        <f t="shared" si="24"/>
        <v>0.10026757173055721</v>
      </c>
      <c r="AC115" s="2">
        <f t="shared" si="25"/>
        <v>0.1151901624778385</v>
      </c>
      <c r="AD115" s="2">
        <f t="shared" si="26"/>
        <v>0.10227444344259566</v>
      </c>
      <c r="AE115" s="2">
        <f t="shared" si="27"/>
        <v>0.10987695088187602</v>
      </c>
      <c r="AF115" s="2">
        <f t="shared" si="28"/>
        <v>0.11908712371493149</v>
      </c>
      <c r="AG115" s="2">
        <f t="shared" si="29"/>
        <v>9.9235315312320327E-2</v>
      </c>
      <c r="AH115" s="2">
        <f t="shared" si="30"/>
        <v>0.1199891551819615</v>
      </c>
      <c r="AI115" s="2">
        <f t="shared" si="31"/>
        <v>0.10099811712417744</v>
      </c>
      <c r="AJ115" s="2">
        <f>0.151449965588423*(8350/2783.333)</f>
        <v>0.45434995117843618</v>
      </c>
      <c r="AK115" s="2">
        <f>0.176867597983891*(8350/2783.333)</f>
        <v>0.53060285749692626</v>
      </c>
      <c r="AL115" s="2">
        <f>0.162398805459518*(8350/2783.333)</f>
        <v>0.48719647472543598</v>
      </c>
      <c r="AM115" s="2">
        <f>0.202260969737746*(8350/2783.333)</f>
        <v>0.60678298188185797</v>
      </c>
      <c r="AN115" s="2">
        <f>0.334467721313538*(8350/2783.333)</f>
        <v>1.0034032841086717</v>
      </c>
      <c r="AO115" s="2">
        <f>0.126853792389165*(8350/2783.333)</f>
        <v>0.38056142274371479</v>
      </c>
      <c r="AP115" s="2">
        <f>0.124106204527916*(8350/2783.333)</f>
        <v>0.37231865817280763</v>
      </c>
      <c r="AQ115" s="2">
        <f>0.168547598489859*(8350/2783.333)</f>
        <v>0.50564285602560888</v>
      </c>
      <c r="AR115" s="2">
        <f>0.146189370618438*(8350/2783.333)</f>
        <v>0.43856816437844776</v>
      </c>
      <c r="AS115" s="2">
        <f>0.151940217981913*(8350/2783.333)</f>
        <v>0.45582070853504625</v>
      </c>
      <c r="AT115" s="2">
        <f>0.263140199804485*(8350/2783.333)</f>
        <v>0.78942069395485459</v>
      </c>
      <c r="AU115" s="2">
        <f>0.171170907773401*(8350/2783.333)</f>
        <v>0.51351278481874096</v>
      </c>
      <c r="AV115" s="2">
        <f>0.193464515471896*(8350/2783.333)</f>
        <v>0.58039361592390459</v>
      </c>
      <c r="AW115" s="2">
        <f>0.0893743048181638*(8350/2783.333)</f>
        <v>0.26812294656502395</v>
      </c>
    </row>
    <row r="116" spans="1:49" x14ac:dyDescent="0.25">
      <c r="A116" s="5">
        <v>45738</v>
      </c>
      <c r="B116" s="2">
        <f>0.247021791099901*(8350/2783.333)</f>
        <v>0.74106546205005652</v>
      </c>
      <c r="C116" s="2">
        <f>0.217701521514894*(8350/2783.333)</f>
        <v>0.65310464276080815</v>
      </c>
      <c r="D116" s="2">
        <f>0.169786237826754*(8350/2783.333)</f>
        <v>0.50935877448131306</v>
      </c>
      <c r="E116" s="2">
        <f>0.182534897458392*(8350/2783.333)</f>
        <v>0.54760475795658348</v>
      </c>
      <c r="F116" s="2">
        <f>0.15701178668795*(8350/2783.333)</f>
        <v>0.47103541647527625</v>
      </c>
      <c r="G116" s="2">
        <f>0.209420053329729*(8350/2783.333)</f>
        <v>0.62826023522993291</v>
      </c>
      <c r="H116" s="2">
        <f>0.210099012152501*(8350/2783.333)</f>
        <v>0.63029711194218729</v>
      </c>
      <c r="I116" s="2">
        <f>0.209228227619721*(8350/2783.333)</f>
        <v>0.62768475803099122</v>
      </c>
      <c r="J116" s="2">
        <f>0.175873804986032*(8350/2783.333)</f>
        <v>0.52762147814629667</v>
      </c>
      <c r="K116" s="2">
        <f>0.227320542598255*(8350/2783.333)</f>
        <v>0.68196170946682544</v>
      </c>
      <c r="L116" s="2">
        <f>0.22258879432151*(8350/2783.333)</f>
        <v>0.6677664629365605</v>
      </c>
      <c r="M116" s="2">
        <f>0.521614341141654*(8350/2783.333)</f>
        <v>1.5648432108313355</v>
      </c>
      <c r="N116" s="2">
        <f>0.318348948011197*(8350/2783.333)</f>
        <v>0.95504695841047271</v>
      </c>
      <c r="O116" s="2">
        <f>0.239247763602556*(8350/2783.333)</f>
        <v>0.71774337676495714</v>
      </c>
      <c r="P116" s="2">
        <f>0.243984461818122*(8350/2783.333)</f>
        <v>0.7319534731134637</v>
      </c>
      <c r="Q116" s="2">
        <f>0.263186415098383*(8350/2783.333)</f>
        <v>0.78955933985315518</v>
      </c>
      <c r="R116" s="2">
        <f>0.11314354051853*(8350/2783.333)</f>
        <v>0.33943066220596901</v>
      </c>
      <c r="S116" s="2">
        <f>0.0419102072173787*(8350/2783.333)</f>
        <v>0.12573063670969736</v>
      </c>
      <c r="T116" s="2">
        <f t="shared" si="16"/>
        <v>0.10069243236843764</v>
      </c>
      <c r="U116" s="2">
        <f t="shared" si="17"/>
        <v>0.11437794326585224</v>
      </c>
      <c r="V116" s="2">
        <f t="shared" si="18"/>
        <v>0.11043877033537902</v>
      </c>
      <c r="W116" s="2">
        <f t="shared" si="19"/>
        <v>0.10705744606724045</v>
      </c>
      <c r="X116" s="2">
        <f t="shared" si="20"/>
        <v>0.11728533803050227</v>
      </c>
      <c r="Y116" s="2">
        <f t="shared" si="21"/>
        <v>0.10928020503416074</v>
      </c>
      <c r="Z116" s="2">
        <f t="shared" si="22"/>
        <v>0.10579568013572224</v>
      </c>
      <c r="AA116" s="2">
        <f t="shared" si="23"/>
        <v>0.11798772791544039</v>
      </c>
      <c r="AB116" s="2">
        <f t="shared" si="24"/>
        <v>0.10026757173055721</v>
      </c>
      <c r="AC116" s="2">
        <f t="shared" si="25"/>
        <v>0.1151901624778385</v>
      </c>
      <c r="AD116" s="2">
        <f t="shared" si="26"/>
        <v>0.10227444344259566</v>
      </c>
      <c r="AE116" s="2">
        <f t="shared" si="27"/>
        <v>0.10987695088187602</v>
      </c>
      <c r="AF116" s="2">
        <f t="shared" si="28"/>
        <v>0.11908712371493149</v>
      </c>
      <c r="AG116" s="2">
        <f t="shared" si="29"/>
        <v>9.9235315312320327E-2</v>
      </c>
      <c r="AH116" s="2">
        <f t="shared" si="30"/>
        <v>0.1199891551819615</v>
      </c>
      <c r="AI116" s="2">
        <f t="shared" si="31"/>
        <v>0.10099811712417744</v>
      </c>
      <c r="AJ116" s="2">
        <f>0.102331057830016*(8350/2783.333)</f>
        <v>0.30699321025570042</v>
      </c>
      <c r="AK116" s="2">
        <f>0.317762125191398*(8350/2783.333)</f>
        <v>0.95328648974024066</v>
      </c>
      <c r="AL116" s="2">
        <f>0.101463324472938*(8350/2783.333)</f>
        <v>0.30439000987270592</v>
      </c>
      <c r="AM116" s="2">
        <f>0.401878005230554*(8350/2783.333)</f>
        <v>1.2056341600789851</v>
      </c>
      <c r="AN116" s="2">
        <f>0.203413516676293*(8350/2783.333)</f>
        <v>0.61024062311158767</v>
      </c>
      <c r="AO116" s="2">
        <f>0.185355776643934*(8350/2783.333)</f>
        <v>0.5560673965266989</v>
      </c>
      <c r="AP116" s="2">
        <f>0.205066762112569*(8350/2783.333)</f>
        <v>0.61520036001439826</v>
      </c>
      <c r="AQ116" s="2">
        <f>0.147712066214228*(8350/2783.333)</f>
        <v>0.44313625171289528</v>
      </c>
      <c r="AR116" s="2">
        <f>0.210055341469622*(8350/2783.333)</f>
        <v>0.63016609987785932</v>
      </c>
      <c r="AS116" s="2">
        <f>0.201943824111411*(8350/2783.333)</f>
        <v>0.60583154488890811</v>
      </c>
      <c r="AT116" s="2">
        <f>0.188870722850322*(8350/2783.333)</f>
        <v>0.56661223640871794</v>
      </c>
      <c r="AU116" s="2">
        <f>0.152925946673523*(8350/2783.333)</f>
        <v>0.45877789496403037</v>
      </c>
      <c r="AV116" s="2">
        <f>0.107342601458786*(8350/2783.333)</f>
        <v>0.32202784294256642</v>
      </c>
      <c r="AW116" s="2">
        <f>0.0937264448788744*(8350/2783.333)</f>
        <v>0.28117936831079893</v>
      </c>
    </row>
    <row r="117" spans="1:49" x14ac:dyDescent="0.25">
      <c r="A117" s="5">
        <v>45739</v>
      </c>
      <c r="B117" s="2">
        <f>0.218070276831103*(8350/2783.333)</f>
        <v>0.65421090884192146</v>
      </c>
      <c r="C117" s="2">
        <f>0.217701521514894*(8350/2783.333)</f>
        <v>0.65310464276080815</v>
      </c>
      <c r="D117" s="2">
        <f>0.175654425770075*(8350/2783.333)</f>
        <v>0.52696334041960713</v>
      </c>
      <c r="E117" s="2">
        <f>0.204309364921702*(8350/2783.333)</f>
        <v>0.61292816816967788</v>
      </c>
      <c r="F117" s="2">
        <f>0.185914453889214*(8350/2783.333)</f>
        <v>0.55774342846326241</v>
      </c>
      <c r="G117" s="2">
        <f>0.229793497431942*(8350/2783.333)</f>
        <v>0.6893805748563745</v>
      </c>
      <c r="H117" s="2">
        <f>0.241136366220484*(8350/2783.333)</f>
        <v>0.72340918529728282</v>
      </c>
      <c r="I117" s="2">
        <f>0.224139816225136*(8350/2783.333)</f>
        <v>0.67241952920469228</v>
      </c>
      <c r="J117" s="2">
        <f>0.166763224998017*(8350/2783.333)</f>
        <v>0.50028973490898843</v>
      </c>
      <c r="K117" s="2">
        <f>0.245129064368625*(8350/2783.333)</f>
        <v>0.73538728117620777</v>
      </c>
      <c r="L117" s="2">
        <f>0.255457046193284*(8350/2783.333)</f>
        <v>0.76637123036083743</v>
      </c>
      <c r="M117" s="2">
        <f>0.25816385465288*(8350/2783.333)</f>
        <v>0.77449165671213061</v>
      </c>
      <c r="N117" s="2">
        <f>0.38020635498862*(8350/2783.333)</f>
        <v>1.1406192015669625</v>
      </c>
      <c r="O117" s="2">
        <f>0.355303586135035*(8350/2783.333)</f>
        <v>1.065910886059104</v>
      </c>
      <c r="P117" s="2">
        <f>0.237518442511988*(8350/2783.333)</f>
        <v>0.71255541287194124</v>
      </c>
      <c r="Q117" s="2">
        <f>0.0712206965588816*(8350/2783.333)</f>
        <v>0.21366211526492201</v>
      </c>
      <c r="R117" s="2">
        <f>0.157433281708349*(8350/2783.333)</f>
        <v>0.47229990168791036</v>
      </c>
      <c r="S117" s="2">
        <f>0.00970714358343697*(8350/2783.333)</f>
        <v>2.9121434237907837E-2</v>
      </c>
      <c r="T117" s="2">
        <f t="shared" si="16"/>
        <v>0.10069243236843764</v>
      </c>
      <c r="U117" s="2">
        <f t="shared" si="17"/>
        <v>0.11437794326585224</v>
      </c>
      <c r="V117" s="2">
        <f t="shared" si="18"/>
        <v>0.11043877033537902</v>
      </c>
      <c r="W117" s="2">
        <f t="shared" si="19"/>
        <v>0.10705744606724045</v>
      </c>
      <c r="X117" s="2">
        <f t="shared" si="20"/>
        <v>0.11728533803050227</v>
      </c>
      <c r="Y117" s="2">
        <f t="shared" si="21"/>
        <v>0.10928020503416074</v>
      </c>
      <c r="Z117" s="2">
        <f t="shared" si="22"/>
        <v>0.10579568013572224</v>
      </c>
      <c r="AA117" s="2">
        <f t="shared" si="23"/>
        <v>0.11798772791544039</v>
      </c>
      <c r="AB117" s="2">
        <f t="shared" si="24"/>
        <v>0.10026757173055721</v>
      </c>
      <c r="AC117" s="2">
        <f t="shared" si="25"/>
        <v>0.1151901624778385</v>
      </c>
      <c r="AD117" s="2">
        <f t="shared" si="26"/>
        <v>0.10227444344259566</v>
      </c>
      <c r="AE117" s="2">
        <f t="shared" si="27"/>
        <v>0.10987695088187602</v>
      </c>
      <c r="AF117" s="2">
        <f t="shared" si="28"/>
        <v>0.11908712371493149</v>
      </c>
      <c r="AG117" s="2">
        <f t="shared" si="29"/>
        <v>9.9235315312320327E-2</v>
      </c>
      <c r="AH117" s="2">
        <f t="shared" si="30"/>
        <v>0.1199891551819615</v>
      </c>
      <c r="AI117" s="2">
        <f t="shared" si="31"/>
        <v>0.10099811712417744</v>
      </c>
      <c r="AJ117" s="2">
        <f>0.0811068384282345*(8350/2783.333)</f>
        <v>0.24332054442488843</v>
      </c>
      <c r="AK117" s="2">
        <f>0.161279267314125*(8350/2783.333)</f>
        <v>0.48383785988702799</v>
      </c>
      <c r="AL117" s="2">
        <f>0.0994513038743241*(8350/2783.333)</f>
        <v>0.29835394735398385</v>
      </c>
      <c r="AM117" s="2">
        <f>0.18143998755886*(8350/2783.333)</f>
        <v>0.54432002786460754</v>
      </c>
      <c r="AN117" s="2">
        <f>0.227015695710489*(8350/2783.333)</f>
        <v>0.68104716869400128</v>
      </c>
      <c r="AO117" s="2">
        <f>0.119242564845816*(8350/2783.333)</f>
        <v>0.35772773737909197</v>
      </c>
      <c r="AP117" s="2">
        <f>0.177913324074918*(8350/2783.333)</f>
        <v>0.53374003614571641</v>
      </c>
      <c r="AQ117" s="2">
        <f>0.259512483302979*(8350/2783.333)</f>
        <v>0.77853754314696755</v>
      </c>
      <c r="AR117" s="2">
        <f>0.326680157806566*(8350/2783.333)</f>
        <v>0.98004059078982764</v>
      </c>
      <c r="AS117" s="2">
        <f>0.455016737448481*(8350/2783.333)</f>
        <v>1.3650503758245303</v>
      </c>
      <c r="AT117" s="2">
        <f>0.130832323641108*(8350/2783.333)</f>
        <v>0.3924970179289558</v>
      </c>
      <c r="AU117" s="2">
        <f>0.118758110431934*(8350/2783.333)</f>
        <v>0.35627437396339018</v>
      </c>
      <c r="AV117" s="2">
        <f>0.0824044213218963*(8350/2783.333)</f>
        <v>0.24721329357207139</v>
      </c>
      <c r="AW117" s="2">
        <f>0.0775613532248065*(8350/2783.333)</f>
        <v>0.2326840875407773</v>
      </c>
    </row>
    <row r="118" spans="1:49" x14ac:dyDescent="0.25">
      <c r="A118" s="5">
        <v>45740</v>
      </c>
      <c r="B118" s="2">
        <f>0.233946913688186*(8350/2783.333)</f>
        <v>0.70184082511735058</v>
      </c>
      <c r="C118" s="2">
        <f>0.236924613922391*(8350/2783.333)</f>
        <v>0.71077392688979768</v>
      </c>
      <c r="D118" s="2">
        <f>0.195997477306921*(8350/2783.333)</f>
        <v>0.58799250233902733</v>
      </c>
      <c r="E118" s="2">
        <f>0.234886276678692*(8350/2783.333)</f>
        <v>0.70465891442636508</v>
      </c>
      <c r="F118" s="2">
        <f>0.203490400160253*(8350/2783.333)</f>
        <v>0.61047127359109266</v>
      </c>
      <c r="G118" s="2">
        <f>0.241638523072764*(8350/2783.333)</f>
        <v>0.72491565603453756</v>
      </c>
      <c r="H118" s="2">
        <f>0.243523854994944*(8350/2783.333)</f>
        <v>0.73057165247844424</v>
      </c>
      <c r="I118" s="2">
        <f>0.234391533391358*(8350/2783.333)</f>
        <v>0.7031746843866119</v>
      </c>
      <c r="J118" s="2">
        <f>0.202017208429902*(8350/2783.333)</f>
        <v>0.60605169787074642</v>
      </c>
      <c r="K118" s="2">
        <f>0.265556486399343*(8350/2783.333)</f>
        <v>0.79666955460755795</v>
      </c>
      <c r="L118" s="2">
        <f>0.248384131233535*(8350/2783.333)</f>
        <v>0.74515248294042358</v>
      </c>
      <c r="M118" s="2">
        <f>0.333938910967377*(8350/2783.333)</f>
        <v>1.0018168528801963</v>
      </c>
      <c r="N118" s="2">
        <f>0.435365826178679*(8350/2783.333)</f>
        <v>1.3060976349549156</v>
      </c>
      <c r="O118" s="2">
        <f>0.194177541259845*(8350/2783.333)</f>
        <v>0.58253269354392945</v>
      </c>
      <c r="P118" s="2">
        <f>0.332784460289028*(8350/2783.333)</f>
        <v>0.99835350043037807</v>
      </c>
      <c r="Q118" s="2">
        <f>0.298560933256769*(8350/2783.333)</f>
        <v>0.8956829070377198</v>
      </c>
      <c r="R118" s="2">
        <f>0.0468950200833381*(8350/2783.333)</f>
        <v>0.14068507709852662</v>
      </c>
      <c r="S118" s="2">
        <f>0.225421445437592*(8350/2783.333)</f>
        <v>0.67626441730252651</v>
      </c>
      <c r="T118" s="2">
        <f t="shared" si="16"/>
        <v>0.10069243236843764</v>
      </c>
      <c r="U118" s="2">
        <f t="shared" si="17"/>
        <v>0.11437794326585224</v>
      </c>
      <c r="V118" s="2">
        <f t="shared" si="18"/>
        <v>0.11043877033537902</v>
      </c>
      <c r="W118" s="2">
        <f t="shared" si="19"/>
        <v>0.10705744606724045</v>
      </c>
      <c r="X118" s="2">
        <f t="shared" si="20"/>
        <v>0.11728533803050227</v>
      </c>
      <c r="Y118" s="2">
        <f t="shared" si="21"/>
        <v>0.10928020503416074</v>
      </c>
      <c r="Z118" s="2">
        <f t="shared" si="22"/>
        <v>0.10579568013572224</v>
      </c>
      <c r="AA118" s="2">
        <f t="shared" si="23"/>
        <v>0.11798772791544039</v>
      </c>
      <c r="AB118" s="2">
        <f t="shared" si="24"/>
        <v>0.10026757173055721</v>
      </c>
      <c r="AC118" s="2">
        <f t="shared" si="25"/>
        <v>0.1151901624778385</v>
      </c>
      <c r="AD118" s="2">
        <f t="shared" si="26"/>
        <v>0.10227444344259566</v>
      </c>
      <c r="AE118" s="2">
        <f t="shared" si="27"/>
        <v>0.10987695088187602</v>
      </c>
      <c r="AF118" s="2">
        <f t="shared" si="28"/>
        <v>0.11908712371493149</v>
      </c>
      <c r="AG118" s="2">
        <f t="shared" si="29"/>
        <v>9.9235315312320327E-2</v>
      </c>
      <c r="AH118" s="2">
        <f t="shared" si="30"/>
        <v>0.1199891551819615</v>
      </c>
      <c r="AI118" s="2">
        <f t="shared" si="31"/>
        <v>0.10099811712417744</v>
      </c>
      <c r="AJ118" s="2">
        <f>0.0145537504469355*(8350/2783.333)</f>
        <v>4.3661256569699589E-2</v>
      </c>
      <c r="AK118" s="2">
        <f>0.207744483733621*(8350/2783.333)</f>
        <v>0.62323352583960978</v>
      </c>
      <c r="AL118" s="2">
        <f>0.26328726690428*(8350/2783.333)</f>
        <v>0.78986189530707862</v>
      </c>
      <c r="AM118" s="2">
        <f>0.337762599790811*(8350/2783.333)</f>
        <v>1.0132879207242784</v>
      </c>
      <c r="AN118" s="2">
        <f>0.523595708574396*(8350/2783.333)</f>
        <v>1.5707873138414303</v>
      </c>
      <c r="AO118" s="2">
        <f>0.113422214371489*(8350/2783.333)</f>
        <v>0.34026668386496867</v>
      </c>
      <c r="AP118" s="2">
        <f>0.151592813584434*(8350/2783.333)</f>
        <v>0.45477849521779218</v>
      </c>
      <c r="AQ118" s="2">
        <f>0.161094237350609*(8350/2783.333)</f>
        <v>0.48328276993000391</v>
      </c>
      <c r="AR118" s="2">
        <f>0.139655767462307*(8350/2783.333)</f>
        <v>0.41896735256265094</v>
      </c>
      <c r="AS118" s="2">
        <f>0.134736404940575*(8350/2783.333)</f>
        <v>0.40420926323001971</v>
      </c>
      <c r="AT118" s="2">
        <f>0.1260777655138*(8350/2783.333)</f>
        <v>0.3782333418388053</v>
      </c>
      <c r="AU118" s="2">
        <f>0.124563325327349*(8350/2783.333)</f>
        <v>0.37369002073534352</v>
      </c>
      <c r="AV118" s="2">
        <f>0.0941764815107386*(8350/2783.333)</f>
        <v>0.28252947836808157</v>
      </c>
      <c r="AW118" s="2">
        <f>0.0738309474584831*(8350/2783.333)</f>
        <v>0.22149286890154149</v>
      </c>
    </row>
    <row r="119" spans="1:49" x14ac:dyDescent="0.25">
      <c r="A119" s="5">
        <v>45741</v>
      </c>
      <c r="B119" s="2">
        <f>0.228810354705012*(8350/2783.333)</f>
        <v>0.68643114632235824</v>
      </c>
      <c r="C119" s="2">
        <f>0.235963459302016*(8350/2783.333)</f>
        <v>0.70789046268334765</v>
      </c>
      <c r="D119" s="2">
        <f>0.16783017517898*(8350/2783.333)</f>
        <v>0.50349058583521522</v>
      </c>
      <c r="E119" s="2">
        <f>0.240909001721735*(8350/2783.333)</f>
        <v>0.72272709171934857</v>
      </c>
      <c r="F119" s="2">
        <f>0.215598274258081*(8350/2783.333)</f>
        <v>0.64679490023470865</v>
      </c>
      <c r="G119" s="2">
        <f>0.233110104611372*(8350/2783.333)</f>
        <v>0.69933039758626003</v>
      </c>
      <c r="H119" s="2">
        <f>0.241136366220484*(8350/2783.333)</f>
        <v>0.72340918529728282</v>
      </c>
      <c r="I119" s="2">
        <f>0.240915353406227*(8350/2783.333)</f>
        <v>0.72274614677510574</v>
      </c>
      <c r="J119" s="2">
        <f>0.225783938833419*(8350/2783.333)</f>
        <v>0.67735189762024595</v>
      </c>
      <c r="K119" s="2">
        <f>0.285460128377993*(8350/2783.333)</f>
        <v>0.85638048769451525</v>
      </c>
      <c r="L119" s="2">
        <f>0.31079220440779*(8350/2783.333)</f>
        <v>0.93237672488525281</v>
      </c>
      <c r="M119" s="2">
        <f>0.411035625240848*(8350/2783.333)</f>
        <v>1.2331070234000305</v>
      </c>
      <c r="N119" s="2">
        <f>0.577598462604474*(8350/2783.333)</f>
        <v>1.7327955953338519</v>
      </c>
      <c r="O119" s="2">
        <f>0.324505600867516*(8350/2783.333)</f>
        <v>0.97351691919140149</v>
      </c>
      <c r="P119" s="2">
        <f>0.281056305839956*(8350/2783.333)</f>
        <v>0.8431690184981947</v>
      </c>
      <c r="Q119" s="2">
        <f>0.385818078047451*(8350/2783.333)</f>
        <v>1.1574543727596438</v>
      </c>
      <c r="R119" s="2">
        <f>0.026424971634262*(8350/2783.333)</f>
        <v>7.9274924396788779E-2</v>
      </c>
      <c r="S119" s="2">
        <f>0.0238826548481386*(8350/2783.333)</f>
        <v>7.164797312501138E-2</v>
      </c>
      <c r="T119" s="2">
        <f t="shared" si="16"/>
        <v>0.10069243236843764</v>
      </c>
      <c r="U119" s="2">
        <f t="shared" si="17"/>
        <v>0.11437794326585224</v>
      </c>
      <c r="V119" s="2">
        <f t="shared" si="18"/>
        <v>0.11043877033537902</v>
      </c>
      <c r="W119" s="2">
        <f t="shared" si="19"/>
        <v>0.10705744606724045</v>
      </c>
      <c r="X119" s="2">
        <f t="shared" si="20"/>
        <v>0.11728533803050227</v>
      </c>
      <c r="Y119" s="2">
        <f t="shared" si="21"/>
        <v>0.10928020503416074</v>
      </c>
      <c r="Z119" s="2">
        <f t="shared" si="22"/>
        <v>0.10579568013572224</v>
      </c>
      <c r="AA119" s="2">
        <f t="shared" si="23"/>
        <v>0.11798772791544039</v>
      </c>
      <c r="AB119" s="2">
        <f t="shared" si="24"/>
        <v>0.10026757173055721</v>
      </c>
      <c r="AC119" s="2">
        <f t="shared" si="25"/>
        <v>0.1151901624778385</v>
      </c>
      <c r="AD119" s="2">
        <f t="shared" si="26"/>
        <v>0.10227444344259566</v>
      </c>
      <c r="AE119" s="2">
        <f t="shared" si="27"/>
        <v>0.10987695088187602</v>
      </c>
      <c r="AF119" s="2">
        <f t="shared" si="28"/>
        <v>0.11908712371493149</v>
      </c>
      <c r="AG119" s="2">
        <f t="shared" si="29"/>
        <v>9.9235315312320327E-2</v>
      </c>
      <c r="AH119" s="2">
        <f t="shared" si="30"/>
        <v>0.1199891551819615</v>
      </c>
      <c r="AI119" s="2">
        <f t="shared" si="31"/>
        <v>0.10099811712417744</v>
      </c>
      <c r="AJ119" s="2">
        <f>0.0354747667144054*(8350/2783.333)</f>
        <v>0.10642431288864281</v>
      </c>
      <c r="AK119" s="2">
        <f>0.183762436549365*(8350/2783.333)</f>
        <v>0.55128737567053521</v>
      </c>
      <c r="AL119" s="2">
        <f>0.224484012502448*(8350/2783.333)</f>
        <v>0.67345211816029316</v>
      </c>
      <c r="AM119" s="2">
        <f>0.35329571347982*(8350/2783.333)</f>
        <v>1.0598872673720683</v>
      </c>
      <c r="AN119" s="2">
        <f>0.252791759655729*(8350/2783.333)</f>
        <v>0.75837536979058329</v>
      </c>
      <c r="AO119" s="2">
        <f>0.24296232236419*(8350/2783.333)</f>
        <v>0.7288870543844328</v>
      </c>
      <c r="AP119" s="2">
        <f>0.159422332527806*(8350/2783.333)</f>
        <v>0.47826705486090898</v>
      </c>
      <c r="AQ119" s="2">
        <f>0.195820124476661*(8350/2783.333)</f>
        <v>0.58746044378452678</v>
      </c>
      <c r="AR119" s="2">
        <f>0.162360038429863*(8350/2783.333)</f>
        <v>0.48708017362254424</v>
      </c>
      <c r="AS119" s="2">
        <f>0.191653692946498*(8350/2783.333)</f>
        <v>0.57496114769711615</v>
      </c>
      <c r="AT119" s="2">
        <f>0.115912848138175*(8350/2783.333)</f>
        <v>0.34773858605986374</v>
      </c>
      <c r="AU119" s="2">
        <f>0.105157321248388*(8350/2783.333)</f>
        <v>0.31547200152624205</v>
      </c>
      <c r="AV119" s="2">
        <f>0.105019168526778*(8350/2783.333)</f>
        <v>0.3150575433117751</v>
      </c>
      <c r="AW119" s="2">
        <f>0.0965242492036169*(8350/2783.333)</f>
        <v>0.28957278229022587</v>
      </c>
    </row>
    <row r="120" spans="1:49" x14ac:dyDescent="0.25">
      <c r="A120" s="5">
        <v>45742</v>
      </c>
      <c r="B120" s="2">
        <f>0.285312503519923*(8350/2783.333)</f>
        <v>0.85593761306726723</v>
      </c>
      <c r="C120" s="2">
        <f>0.232599418130704*(8350/2783.333)</f>
        <v>0.69779833796077495</v>
      </c>
      <c r="D120" s="2">
        <f>0.183869888890724*(8350/2783.333)</f>
        <v>0.551609732733219</v>
      </c>
      <c r="E120" s="2">
        <f>0.219597820800197*(8350/2783.333)</f>
        <v>0.65879354129802103</v>
      </c>
      <c r="F120" s="2">
        <f>0.183570994386409*(8350/2783.333)</f>
        <v>0.55071304911288521</v>
      </c>
      <c r="G120" s="2">
        <f>0.219843675893652*(8350/2783.333)</f>
        <v>0.65953110666671666</v>
      </c>
      <c r="H120" s="2">
        <f>0.222036456024802*(8350/2783.333)</f>
        <v>0.66610944784799342</v>
      </c>
      <c r="I120" s="2">
        <f>0.195248613302145*(8350/2783.333)</f>
        <v>0.58574591005564669</v>
      </c>
      <c r="J120" s="2">
        <f>0.178646590199776*(8350/2783.333)</f>
        <v>0.53593983478373841</v>
      </c>
      <c r="K120" s="2">
        <f>0.243033944160346*(8350/2783.333)</f>
        <v>0.72910191979863315</v>
      </c>
      <c r="L120" s="2">
        <f>0.314952742619407*(8350/2783.333)</f>
        <v>0.94485834101490851</v>
      </c>
      <c r="M120" s="2">
        <f>0.327330621172508*(8350/2783.333)</f>
        <v>0.98199198112135344</v>
      </c>
      <c r="N120" s="2">
        <f>0.309287034887116*(8350/2783.333)</f>
        <v>0.92786121578245173</v>
      </c>
      <c r="O120" s="2">
        <f>0.321500919378002*(8350/2783.333)</f>
        <v>0.96450287364333309</v>
      </c>
      <c r="P120" s="2">
        <f>0.0780232996273499*(8350/2783.333)</f>
        <v>0.2340699269143762</v>
      </c>
      <c r="Q120" s="2">
        <f>0.0580142097797512*(8350/2783.333)</f>
        <v>0.17404265018268486</v>
      </c>
      <c r="R120" s="2">
        <f>0.0774140014074153*(8350/2783.333)</f>
        <v>0.23224203203566288</v>
      </c>
      <c r="S120" s="2">
        <f>0.0127887764670678*(8350/2783.333)</f>
        <v>3.836633399597382E-2</v>
      </c>
      <c r="T120" s="2">
        <f t="shared" si="16"/>
        <v>0.10069243236843764</v>
      </c>
      <c r="U120" s="2">
        <f t="shared" si="17"/>
        <v>0.11437794326585224</v>
      </c>
      <c r="V120" s="2">
        <f t="shared" si="18"/>
        <v>0.11043877033537902</v>
      </c>
      <c r="W120" s="2">
        <f t="shared" si="19"/>
        <v>0.10705744606724045</v>
      </c>
      <c r="X120" s="2">
        <f t="shared" si="20"/>
        <v>0.11728533803050227</v>
      </c>
      <c r="Y120" s="2">
        <f t="shared" si="21"/>
        <v>0.10928020503416074</v>
      </c>
      <c r="Z120" s="2">
        <f t="shared" si="22"/>
        <v>0.10579568013572224</v>
      </c>
      <c r="AA120" s="2">
        <f t="shared" si="23"/>
        <v>0.11798772791544039</v>
      </c>
      <c r="AB120" s="2">
        <f t="shared" si="24"/>
        <v>0.10026757173055721</v>
      </c>
      <c r="AC120" s="2">
        <f t="shared" si="25"/>
        <v>0.1151901624778385</v>
      </c>
      <c r="AD120" s="2">
        <f t="shared" si="26"/>
        <v>0.10227444344259566</v>
      </c>
      <c r="AE120" s="2">
        <f t="shared" si="27"/>
        <v>0.10987695088187602</v>
      </c>
      <c r="AF120" s="2">
        <f t="shared" si="28"/>
        <v>0.11908712371493149</v>
      </c>
      <c r="AG120" s="2">
        <f t="shared" si="29"/>
        <v>9.9235315312320327E-2</v>
      </c>
      <c r="AH120" s="2">
        <f t="shared" si="30"/>
        <v>0.1199891551819615</v>
      </c>
      <c r="AI120" s="2">
        <f t="shared" si="31"/>
        <v>0.10099811712417744</v>
      </c>
      <c r="AJ120" s="2">
        <f>0.0895965261889469*(8350/2783.333)</f>
        <v>0.26878961075721319</v>
      </c>
      <c r="AK120" s="2">
        <f>0.275793542618949*(8350/2783.333)</f>
        <v>0.82738072694435971</v>
      </c>
      <c r="AL120" s="2">
        <f>0.160386784860904*(8350/2783.333)</f>
        <v>0.48116041220671374</v>
      </c>
      <c r="AM120" s="2">
        <f>0.411462266868453*(8350/2783.333)</f>
        <v>1.2343869484361321</v>
      </c>
      <c r="AN120" s="2">
        <f>0.26210840927449*(8350/2783.333)</f>
        <v>0.78632532199416816</v>
      </c>
      <c r="AO120" s="2">
        <f>0.136405136757291*(8350/2783.333)</f>
        <v>0.40921545927971215</v>
      </c>
      <c r="AP120" s="2">
        <f>0.128270842263752*(8350/2783.333)</f>
        <v>0.38481257287659321</v>
      </c>
      <c r="AQ120" s="2">
        <f>0.155334821924825*(8350/2783.333)</f>
        <v>0.46600452158340033</v>
      </c>
      <c r="AR120" s="2">
        <f>0.190291191922324*(8350/2783.333)</f>
        <v>0.57087364413507458</v>
      </c>
      <c r="AS120" s="2">
        <f>0.117532591899237*(8350/2783.333)</f>
        <v>0.35259781792499334</v>
      </c>
      <c r="AT120" s="2">
        <f>0.117388400660443*(8350/2783.333)</f>
        <v>0.35216524415680706</v>
      </c>
      <c r="AU120" s="2">
        <f>0.117099477604672*(8350/2783.333)</f>
        <v>0.35129847488568905</v>
      </c>
      <c r="AV120" s="2">
        <f>0.0946411680971403*(8350/2783.333)</f>
        <v>0.28392353829423983</v>
      </c>
      <c r="AW120" s="2">
        <f>0.0761624510624352*(8350/2783.333)</f>
        <v>0.22848738055106388</v>
      </c>
    </row>
    <row r="121" spans="1:49" x14ac:dyDescent="0.25">
      <c r="A121" s="5">
        <v>45743</v>
      </c>
      <c r="B121" s="2">
        <f>0.185850043209377*(8350/2783.333)</f>
        <v>0.55755019640060932</v>
      </c>
      <c r="C121" s="2">
        <f>0.194633810625899*(8350/2783.333)</f>
        <v>0.5839015018060203</v>
      </c>
      <c r="D121" s="2">
        <f>0.173307150592747*(8350/2783.333)</f>
        <v>0.51992151404428932</v>
      </c>
      <c r="E121" s="2">
        <f>0.290017375149627*(8350/2783.333)</f>
        <v>0.87005222964675366</v>
      </c>
      <c r="F121" s="2">
        <f>0.255046509221968*(8350/2783.333)</f>
        <v>0.76513961929939256</v>
      </c>
      <c r="G121" s="2">
        <f>0.32360610050725*(8350/2783.333)</f>
        <v>0.97081841778742939</v>
      </c>
      <c r="H121" s="2">
        <f>0.311328536189615*(8350/2783.333)</f>
        <v>0.93398572042342254</v>
      </c>
      <c r="I121" s="2">
        <f>0.270738530617056*(8350/2783.333)</f>
        <v>0.8122156891225073</v>
      </c>
      <c r="J121" s="2">
        <f>0.181815487586911*(8350/2783.333)</f>
        <v>0.54544652808367167</v>
      </c>
      <c r="K121" s="2">
        <f>0.228368102702394*(8350/2783.333)</f>
        <v>0.68510439015561253</v>
      </c>
      <c r="L121" s="2">
        <f>0.345324671564211*(8350/2783.333)</f>
        <v>1.0359741387613921</v>
      </c>
      <c r="M121" s="2">
        <f>0.601794923986064*(8350/2783.333)</f>
        <v>1.8053849881719635</v>
      </c>
      <c r="N121" s="2">
        <f>0.512589085844762*(8350/2783.333)</f>
        <v>1.5377674416980502</v>
      </c>
      <c r="O121" s="2">
        <f>0.308355437861378*(8350/2783.333)</f>
        <v>0.92506642437053355</v>
      </c>
      <c r="P121" s="2">
        <f>0.567716495078562*(8350/2783.333)</f>
        <v>1.7031496892057096</v>
      </c>
      <c r="Q121" s="2">
        <f>0.402797846763476*(8350/2783.333)</f>
        <v>1.2083936850082346</v>
      </c>
      <c r="R121" s="2">
        <f>0.103838973041677*(8350/2783.333)</f>
        <v>0.31151695643245181</v>
      </c>
      <c r="S121" s="2">
        <f>0.0624030658935234*(8350/2783.333)</f>
        <v>0.18720922010083615</v>
      </c>
      <c r="T121" s="2">
        <f t="shared" si="16"/>
        <v>0.10069243236843764</v>
      </c>
      <c r="U121" s="2">
        <f t="shared" si="17"/>
        <v>0.11437794326585224</v>
      </c>
      <c r="V121" s="2">
        <f t="shared" si="18"/>
        <v>0.11043877033537902</v>
      </c>
      <c r="W121" s="2">
        <f t="shared" si="19"/>
        <v>0.10705744606724045</v>
      </c>
      <c r="X121" s="2">
        <f t="shared" si="20"/>
        <v>0.11728533803050227</v>
      </c>
      <c r="Y121" s="2">
        <f t="shared" si="21"/>
        <v>0.10928020503416074</v>
      </c>
      <c r="Z121" s="2">
        <f t="shared" si="22"/>
        <v>0.10579568013572224</v>
      </c>
      <c r="AA121" s="2">
        <f t="shared" si="23"/>
        <v>0.11798772791544039</v>
      </c>
      <c r="AB121" s="2">
        <f t="shared" si="24"/>
        <v>0.10026757173055721</v>
      </c>
      <c r="AC121" s="2">
        <f t="shared" si="25"/>
        <v>0.1151901624778385</v>
      </c>
      <c r="AD121" s="2">
        <f t="shared" si="26"/>
        <v>0.10227444344259566</v>
      </c>
      <c r="AE121" s="2">
        <f t="shared" si="27"/>
        <v>0.10987695088187602</v>
      </c>
      <c r="AF121" s="2">
        <f t="shared" si="28"/>
        <v>0.11908712371493149</v>
      </c>
      <c r="AG121" s="2">
        <f t="shared" si="29"/>
        <v>9.9235315312320327E-2</v>
      </c>
      <c r="AH121" s="2">
        <f t="shared" si="30"/>
        <v>0.1199891551819615</v>
      </c>
      <c r="AI121" s="2">
        <f t="shared" si="31"/>
        <v>0.10099811712417744</v>
      </c>
      <c r="AJ121" s="2">
        <f>0.0958121904423256*(8350/2783.333)</f>
        <v>0.28743660575052243</v>
      </c>
      <c r="AK121" s="2">
        <f>0.257807007230757*(8350/2783.333)</f>
        <v>0.77342111431755345</v>
      </c>
      <c r="AL121" s="2">
        <f>0.405565866377663*(8350/2783.333)</f>
        <v>1.2166977448452927</v>
      </c>
      <c r="AM121" s="2">
        <f>0.192015724538611*(8350/2783.333)</f>
        <v>0.57604724260352813</v>
      </c>
      <c r="AN121" s="2">
        <f>0.238816785227587*(8350/2783.333)</f>
        <v>0.71645044148520787</v>
      </c>
      <c r="AO121" s="2">
        <f>0.130883265794468*(8350/2783.333)</f>
        <v>0.39264984440733869</v>
      </c>
      <c r="AP121" s="2">
        <f>0.117942540678878*(8350/2783.333)</f>
        <v>0.35382766441120517</v>
      </c>
      <c r="AQ121" s="2">
        <f>0.14517114764403*(8350/2783.333)</f>
        <v>0.43551349508939363</v>
      </c>
      <c r="AR121" s="2">
        <f>0.142759228961469*(8350/2783.333)</f>
        <v>0.42827773817515469</v>
      </c>
      <c r="AS121" s="2">
        <f>0.116407108803074*(8350/2783.333)</f>
        <v>0.34922136823214123</v>
      </c>
      <c r="AT121" s="2">
        <f>0.120503455985231*(8350/2783.333)</f>
        <v>0.3615104112503536</v>
      </c>
      <c r="AU121" s="2">
        <f>0.118260520583755*(8350/2783.333)</f>
        <v>0.35478160424007987</v>
      </c>
      <c r="AV121" s="2">
        <f>0.125310482799651*(8350/2783.333)</f>
        <v>0.37593149342068755</v>
      </c>
      <c r="AW121" s="2">
        <f>0.185587686874587*(8350/2783.333)</f>
        <v>0.55676312730197974</v>
      </c>
    </row>
    <row r="122" spans="1:49" x14ac:dyDescent="0.25">
      <c r="A122" s="5">
        <v>45744</v>
      </c>
      <c r="B122" s="2">
        <f>0.374968805771683*(8350/2783.333)</f>
        <v>1.1249065520343955</v>
      </c>
      <c r="C122" s="2">
        <f>0.370525106154489*(8350/2783.333)</f>
        <v>1.1115754515862757</v>
      </c>
      <c r="D122" s="2">
        <f>0.197171114895585*(8350/2783.333)</f>
        <v>0.59151341552668613</v>
      </c>
      <c r="E122" s="2">
        <f>0.227473692010331*(8350/2783.333)</f>
        <v>0.68242115775807743</v>
      </c>
      <c r="F122" s="2">
        <f>0.159745822774556*(8350/2783.333)</f>
        <v>0.47923752571738337</v>
      </c>
      <c r="G122" s="2">
        <f>0.212262859483526*(8350/2783.333)</f>
        <v>0.6367886547126923</v>
      </c>
      <c r="H122" s="2">
        <f>0.234928895406888*(8350/2783.333)</f>
        <v>0.70478677062626405</v>
      </c>
      <c r="I122" s="2">
        <f>0.22740172623257*(8350/2783.333)</f>
        <v>0.68220526039893947</v>
      </c>
      <c r="J122" s="2">
        <f>0.188153282361183*(8350/2783.333)</f>
        <v>0.56445991468353851</v>
      </c>
      <c r="K122" s="2">
        <f>0.250890644941392*(8350/2783.333)</f>
        <v>0.75267202496453733</v>
      </c>
      <c r="L122" s="2">
        <f>0.260033638226063*(8350/2783.333)</f>
        <v>0.78010100810345828</v>
      </c>
      <c r="M122" s="2">
        <f>0.327330621172508*(8350/2783.333)</f>
        <v>0.98199198112135344</v>
      </c>
      <c r="N122" s="2">
        <f>0.161538451342315*(8350/2783.333)</f>
        <v>0.48461541206471975</v>
      </c>
      <c r="O122" s="2">
        <f>0.075117037237851*(8350/2783.333)</f>
        <v>0.22535113870171336</v>
      </c>
      <c r="P122" s="2">
        <f>0.23794951046573*(8350/2783.333)</f>
        <v>0.71384861688804258</v>
      </c>
      <c r="Q122" s="2">
        <f>0.14149807263354*(8350/2783.333)</f>
        <v>0.42449426873825546</v>
      </c>
      <c r="R122" s="2">
        <f>0.390047468629669*(8350/2783.333)</f>
        <v>1.1701425460258403</v>
      </c>
      <c r="S122" s="2">
        <f>0.080276536618582*(8350/2783.333)</f>
        <v>0.24082963869761878</v>
      </c>
      <c r="T122" s="2">
        <f t="shared" si="16"/>
        <v>0.10069243236843764</v>
      </c>
      <c r="U122" s="2">
        <f t="shared" si="17"/>
        <v>0.11437794326585224</v>
      </c>
      <c r="V122" s="2">
        <f t="shared" si="18"/>
        <v>0.11043877033537902</v>
      </c>
      <c r="W122" s="2">
        <f t="shared" si="19"/>
        <v>0.10705744606724045</v>
      </c>
      <c r="X122" s="2">
        <f t="shared" si="20"/>
        <v>0.11728533803050227</v>
      </c>
      <c r="Y122" s="2">
        <f t="shared" si="21"/>
        <v>0.10928020503416074</v>
      </c>
      <c r="Z122" s="2">
        <f t="shared" si="22"/>
        <v>0.10579568013572224</v>
      </c>
      <c r="AA122" s="2">
        <f t="shared" si="23"/>
        <v>0.11798772791544039</v>
      </c>
      <c r="AB122" s="2">
        <f t="shared" si="24"/>
        <v>0.10026757173055721</v>
      </c>
      <c r="AC122" s="2">
        <f t="shared" si="25"/>
        <v>0.1151901624778385</v>
      </c>
      <c r="AD122" s="2">
        <f t="shared" si="26"/>
        <v>0.10227444344259566</v>
      </c>
      <c r="AE122" s="2">
        <f t="shared" si="27"/>
        <v>0.10987695088187602</v>
      </c>
      <c r="AF122" s="2">
        <f t="shared" si="28"/>
        <v>0.11908712371493149</v>
      </c>
      <c r="AG122" s="2">
        <f t="shared" si="29"/>
        <v>9.9235315312320327E-2</v>
      </c>
      <c r="AH122" s="2">
        <f t="shared" si="30"/>
        <v>0.1199891551819615</v>
      </c>
      <c r="AI122" s="2">
        <f t="shared" si="31"/>
        <v>0.10099811712417744</v>
      </c>
      <c r="AJ122" s="2">
        <f>0.0595794158921424*(8350/2783.333)</f>
        <v>0.1787382690822078</v>
      </c>
      <c r="AK122" s="2">
        <f>0.367225097508927*(8350/2783.333)</f>
        <v>1.1016754244639579</v>
      </c>
      <c r="AL122" s="2">
        <f>0.131356201938052*(8350/2783.333)</f>
        <v>0.39406865300800759</v>
      </c>
      <c r="AM122" s="2">
        <f>0.319255060076246*(8350/2783.333)</f>
        <v>0.95776529493116769</v>
      </c>
      <c r="AN122" s="2">
        <f>0.214593496218807*(8350/2783.333)</f>
        <v>0.64378056575588871</v>
      </c>
      <c r="AO122" s="2">
        <f>0.128943148969693*(8350/2783.333)</f>
        <v>0.38682949323596411</v>
      </c>
      <c r="AP122" s="2">
        <f>0.132435479999588*(8350/2783.333)</f>
        <v>0.39730648758037868</v>
      </c>
      <c r="AQ122" s="2">
        <f>0.133991105935155*(8350/2783.333)</f>
        <v>0.40197336594598637</v>
      </c>
      <c r="AR122" s="2">
        <f>0.120544978230623*(8350/2783.333)</f>
        <v>0.36163497800144628</v>
      </c>
      <c r="AS122" s="2">
        <f>0.124446273775662*(8350/2783.333)</f>
        <v>0.37333886603822802</v>
      </c>
      <c r="AT122" s="2">
        <f>0.128045168876824*(8350/2783.333)</f>
        <v>0.38413555263472976</v>
      </c>
      <c r="AU122" s="2">
        <f>0.109801493164721*(8350/2783.333)</f>
        <v>0.32940451894380507</v>
      </c>
      <c r="AV122" s="2">
        <f>0.0899943022331236*(8350/2783.333)</f>
        <v>0.26998293903265685</v>
      </c>
      <c r="AW122" s="2">
        <f>0.163826986571034*(8350/2783.333)</f>
        <v>0.4914810185731045</v>
      </c>
    </row>
    <row r="123" spans="1:49" x14ac:dyDescent="0.25">
      <c r="A123" s="5">
        <v>45745</v>
      </c>
      <c r="B123" s="2">
        <f>0.297453461116515*(8350/2783.333)</f>
        <v>0.89236049021906572</v>
      </c>
      <c r="C123" s="2">
        <f>0.434441888409414*(8350/2783.333)</f>
        <v>1.3033258213151659</v>
      </c>
      <c r="D123" s="2">
        <f>0.179175338536068*(8350/2783.333)</f>
        <v>0.53752607998258395</v>
      </c>
      <c r="E123" s="2">
        <f>0.209405516881201*(8350/2783.333)</f>
        <v>0.62821662587912641</v>
      </c>
      <c r="F123" s="2">
        <f>0.174197156375188*(8350/2783.333)</f>
        <v>0.52259153171137651</v>
      </c>
      <c r="G123" s="2">
        <f>0.217000869739855*(8350/2783.333)</f>
        <v>0.65100268718395771</v>
      </c>
      <c r="H123" s="2">
        <f>0.217738976230774*(8350/2783.333)</f>
        <v>0.65321700692190299</v>
      </c>
      <c r="I123" s="2">
        <f>0.192918677582549*(8350/2783.333)</f>
        <v>0.57875610205975625</v>
      </c>
      <c r="J123" s="2">
        <f>0.167159337171409*(8350/2783.333)</f>
        <v>0.50147807157148017</v>
      </c>
      <c r="K123" s="2">
        <f>0.203226660203048*(8350/2783.333)</f>
        <v>0.60968005362471889</v>
      </c>
      <c r="L123" s="2">
        <f>0.24713596977005*(8350/2783.333)</f>
        <v>0.74140799810152669</v>
      </c>
      <c r="M123" s="2">
        <f>0.247150038328098*(8350/2783.333)</f>
        <v>0.7414502037807259</v>
      </c>
      <c r="N123" s="2">
        <f>0.19975608495257*(8350/2783.333)</f>
        <v>0.5992683266263733</v>
      </c>
      <c r="O123" s="2">
        <f>0.072112355748337*(8350/2783.333)</f>
        <v>0.21633709315364485</v>
      </c>
      <c r="P123" s="2">
        <f>0.172858249450648*(8350/2783.333)</f>
        <v>0.51857481045671172</v>
      </c>
      <c r="Q123" s="2">
        <f>0.161779463044347*(8350/2783.333)</f>
        <v>0.48533844725740533</v>
      </c>
      <c r="R123" s="2">
        <f>0.144406887240756*(8350/2783.333)</f>
        <v>0.43322071360498671</v>
      </c>
      <c r="S123" s="2">
        <f>0.145607153751555*(8350/2783.333)</f>
        <v>0.4368215135686172</v>
      </c>
      <c r="T123" s="2">
        <f t="shared" si="16"/>
        <v>0.10069243236843764</v>
      </c>
      <c r="U123" s="2">
        <f t="shared" si="17"/>
        <v>0.11437794326585224</v>
      </c>
      <c r="V123" s="2">
        <f t="shared" si="18"/>
        <v>0.11043877033537902</v>
      </c>
      <c r="W123" s="2">
        <f t="shared" si="19"/>
        <v>0.10705744606724045</v>
      </c>
      <c r="X123" s="2">
        <f t="shared" si="20"/>
        <v>0.11728533803050227</v>
      </c>
      <c r="Y123" s="2">
        <f t="shared" si="21"/>
        <v>0.10928020503416074</v>
      </c>
      <c r="Z123" s="2">
        <f t="shared" si="22"/>
        <v>0.10579568013572224</v>
      </c>
      <c r="AA123" s="2">
        <f t="shared" si="23"/>
        <v>0.11798772791544039</v>
      </c>
      <c r="AB123" s="2">
        <f t="shared" si="24"/>
        <v>0.10026757173055721</v>
      </c>
      <c r="AC123" s="2">
        <f t="shared" si="25"/>
        <v>0.1151901624778385</v>
      </c>
      <c r="AD123" s="2">
        <f t="shared" si="26"/>
        <v>0.10227444344259566</v>
      </c>
      <c r="AE123" s="2">
        <f t="shared" si="27"/>
        <v>0.10987695088187602</v>
      </c>
      <c r="AF123" s="2">
        <f t="shared" si="28"/>
        <v>0.11908712371493149</v>
      </c>
      <c r="AG123" s="2">
        <f t="shared" si="29"/>
        <v>9.9235315312320327E-2</v>
      </c>
      <c r="AH123" s="2">
        <f t="shared" si="30"/>
        <v>0.1199891551819615</v>
      </c>
      <c r="AI123" s="2">
        <f t="shared" si="31"/>
        <v>0.10099811712417744</v>
      </c>
      <c r="AJ123" s="2">
        <f>0.0209210162674698*(8350/2783.333)</f>
        <v>6.2763056318943203E-2</v>
      </c>
      <c r="AK123" s="2">
        <f>0.324656963756872*(8350/2783.333)</f>
        <v>0.97397100791385027</v>
      </c>
      <c r="AL123" s="2">
        <f>0.129919044367614*(8350/2783.333)</f>
        <v>0.38975717978034885</v>
      </c>
      <c r="AM123" s="2">
        <f>0.330491780617232*(8350/2783.333)</f>
        <v>0.9914754605912709</v>
      </c>
      <c r="AN123" s="2">
        <f>0.343784370932299*(8350/2783.333)</f>
        <v>1.0313532363122559</v>
      </c>
      <c r="AO123" s="2">
        <f>0.216546885596093*(8350/2783.333)</f>
        <v>0.64964073458956517</v>
      </c>
      <c r="AP123" s="2">
        <f>0.151592813584434*(8350/2783.333)</f>
        <v>0.45477849521779218</v>
      </c>
      <c r="AQ123" s="2">
        <f>0.12230288051224*(8350/2783.333)</f>
        <v>0.36690868547787903</v>
      </c>
      <c r="AR123" s="2">
        <f>0.13034538296482*(8350/2783.333)</f>
        <v>0.39103619572514092</v>
      </c>
      <c r="AS123" s="2">
        <f>0.132163872149347*(8350/2783.333)</f>
        <v>0.39649166393207202</v>
      </c>
      <c r="AT123" s="2">
        <f>0.124930113552036*(8350/2783.333)</f>
        <v>0.37479038554118321</v>
      </c>
      <c r="AU123" s="2">
        <f>0.118094657301029*(8350/2783.333)</f>
        <v>0.35428401433230966</v>
      </c>
      <c r="AV123" s="2">
        <f>0.0975841831443509*(8350/2783.333)</f>
        <v>0.29275258449324243</v>
      </c>
      <c r="AW123" s="2">
        <f>0.0867319340670181*(8350/2783.333)</f>
        <v>0.26019583336223195</v>
      </c>
    </row>
    <row r="124" spans="1:49" x14ac:dyDescent="0.25">
      <c r="A124" s="5">
        <v>45746</v>
      </c>
      <c r="B124" s="2">
        <f>0.25822882888137*(8350/2783.333)</f>
        <v>0.77468657942094699</v>
      </c>
      <c r="C124" s="2">
        <f>0.220104408065831*(8350/2783.333)</f>
        <v>0.66031330327693138</v>
      </c>
      <c r="D124" s="2">
        <f>0*(8350/2783.333)</f>
        <v>0</v>
      </c>
      <c r="E124" s="2">
        <f>0*(8350/2783.333)</f>
        <v>0</v>
      </c>
      <c r="F124" s="2">
        <f>0.173806579791387*(8350/2783.333)</f>
        <v>0.52141980181964687</v>
      </c>
      <c r="G124" s="2">
        <f>0.216053267688589*(8350/2783.333)</f>
        <v>0.6481598806897042</v>
      </c>
      <c r="H124" s="2">
        <f>0.213441496436745*(8350/2783.333)</f>
        <v>0.64032456599581267</v>
      </c>
      <c r="I124" s="2">
        <f>0.210626189051479*(8350/2783.333)</f>
        <v>0.63187864282852602</v>
      </c>
      <c r="J124" s="2">
        <f>0.172704907598896*(8350/2783.333)</f>
        <v>0.51811478484636375</v>
      </c>
      <c r="K124" s="2">
        <f>0.232558343118952*(8350/2783.333)</f>
        <v>0.69767511291076112</v>
      </c>
      <c r="L124" s="2">
        <f>0.240895162452624*(8350/2783.333)</f>
        <v>0.72268557390704369</v>
      </c>
      <c r="M124" s="2">
        <f>0.244066169757159*(8350/2783.333)</f>
        <v>0.73219859695993261</v>
      </c>
      <c r="N124" s="2">
        <f>0.181632258704408*(8350/2783.333)</f>
        <v>0.54489684137033134</v>
      </c>
      <c r="O124" s="2">
        <f>0.455584830847566*(8350/2783.333)</f>
        <v>1.3667546562258917</v>
      </c>
      <c r="P124" s="2">
        <f>0.497021350664831*(8350/2783.333)</f>
        <v>1.4910642305650594</v>
      </c>
      <c r="Q124" s="2">
        <f>0.341482015288942*(8350/2783.333)</f>
        <v>1.0244461685549904</v>
      </c>
      <c r="R124" s="2">
        <f>0.403446045796338*(8350/2783.333)</f>
        <v>1.2103382823397051</v>
      </c>
      <c r="S124" s="2">
        <f>0.0591673513657111*(8350/2783.333)</f>
        <v>0.17750207535486678</v>
      </c>
      <c r="T124" s="2">
        <f t="shared" si="16"/>
        <v>0.10069243236843764</v>
      </c>
      <c r="U124" s="2">
        <f t="shared" si="17"/>
        <v>0.11437794326585224</v>
      </c>
      <c r="V124" s="2">
        <f t="shared" si="18"/>
        <v>0.11043877033537902</v>
      </c>
      <c r="W124" s="2">
        <f t="shared" si="19"/>
        <v>0.10705744606724045</v>
      </c>
      <c r="X124" s="2">
        <f t="shared" si="20"/>
        <v>0.11728533803050227</v>
      </c>
      <c r="Y124" s="2">
        <f t="shared" si="21"/>
        <v>0.10928020503416074</v>
      </c>
      <c r="Z124" s="2">
        <f t="shared" si="22"/>
        <v>0.10579568013572224</v>
      </c>
      <c r="AA124" s="2">
        <f t="shared" si="23"/>
        <v>0.11798772791544039</v>
      </c>
      <c r="AB124" s="2">
        <f t="shared" si="24"/>
        <v>0.10026757173055721</v>
      </c>
      <c r="AC124" s="2">
        <f t="shared" si="25"/>
        <v>0.1151901624778385</v>
      </c>
      <c r="AD124" s="2">
        <f t="shared" si="26"/>
        <v>0.10227444344259566</v>
      </c>
      <c r="AE124" s="2">
        <f t="shared" si="27"/>
        <v>0.10987695088187602</v>
      </c>
      <c r="AF124" s="2">
        <f t="shared" si="28"/>
        <v>0.11908712371493149</v>
      </c>
      <c r="AG124" s="2">
        <f t="shared" si="29"/>
        <v>9.9235315312320327E-2</v>
      </c>
      <c r="AH124" s="2">
        <f t="shared" si="30"/>
        <v>0.1199891551819615</v>
      </c>
      <c r="AI124" s="2">
        <f t="shared" si="31"/>
        <v>0.10099811712417744</v>
      </c>
      <c r="AJ124" s="2">
        <f>0.00530605485044525*(8350/2783.333)</f>
        <v>1.5918166457702984E-2</v>
      </c>
      <c r="AK124" s="2">
        <f>0.00359730707763847*(8350/2783.333)</f>
        <v>1.0791922525361219E-2</v>
      </c>
      <c r="AL124" s="2">
        <f>0*(8350/2783.333)</f>
        <v>0</v>
      </c>
      <c r="AM124" s="2">
        <f>0.00429639314802401*(8350/2783.333)</f>
        <v>1.2889180987686518E-2</v>
      </c>
      <c r="AN124" s="2">
        <f>0.0692537621661272*(8350/2783.333)</f>
        <v>0.20776131137997564</v>
      </c>
      <c r="AO124" s="2">
        <f>0.250275070396036*(8350/2783.333)</f>
        <v>0.75082530110730594</v>
      </c>
      <c r="AP124" s="2">
        <f>0.124106204527916*(8350/2783.333)</f>
        <v>0.37231865817280763</v>
      </c>
      <c r="AQ124" s="2">
        <f>0.143307807359217*(8350/2783.333)</f>
        <v>0.42992347356549249</v>
      </c>
      <c r="AR124" s="2">
        <f>0.208095260522782*(8350/2783.333)</f>
        <v>0.62428585633312006</v>
      </c>
      <c r="AS124" s="2">
        <f>0.22107703674617*(8350/2783.333)</f>
        <v>0.66323118966739592</v>
      </c>
      <c r="AT124" s="2">
        <f>0.218053872735181*(8350/2783.333)</f>
        <v>0.65416169654825962</v>
      </c>
      <c r="AU124" s="2">
        <f>0.47088585965958*(8350/2783.333)</f>
        <v>1.4126577481593083</v>
      </c>
      <c r="AV124" s="2">
        <f>0.124226214098047*(8350/2783.333)</f>
        <v>0.37267868692631789</v>
      </c>
      <c r="AW124" s="2">
        <f>0.0937264448788744*(8350/2783.333)</f>
        <v>0.28117936831079893</v>
      </c>
    </row>
    <row r="125" spans="1:49" x14ac:dyDescent="0.25">
      <c r="A125" s="5">
        <v>45747</v>
      </c>
      <c r="B125" s="2">
        <f>0.239550432578921*(8350/2783.333)</f>
        <v>0.71865138380279581</v>
      </c>
      <c r="C125" s="2">
        <f>0.215779212274145*(8350/2783.333)</f>
        <v>0.64733771434790854</v>
      </c>
      <c r="D125" s="2">
        <f>0.18269625130206*(8350/2783.333)</f>
        <v>0.54808881954556044</v>
      </c>
      <c r="E125" s="2">
        <f>0.250638019098959*(8350/2783.333)</f>
        <v>0.7519141473464761</v>
      </c>
      <c r="F125" s="2">
        <f>0.183570994386409*(8350/2783.333)</f>
        <v>0.55071304911288521</v>
      </c>
      <c r="G125" s="2">
        <f>0.244481329226561*(8350/2783.333)</f>
        <v>0.73344407551729685</v>
      </c>
      <c r="H125" s="2">
        <f>0.256893792131922*(8350/2783.333)</f>
        <v>0.77068146869294663</v>
      </c>
      <c r="I125" s="2">
        <f>0.249769109140692*(8350/2783.333)</f>
        <v>0.7493074171594909</v>
      </c>
      <c r="J125" s="2">
        <f>0.202413320603294*(8350/2783.333)</f>
        <v>0.60724003453323816</v>
      </c>
      <c r="K125" s="2">
        <f>0.266080266451413*(8350/2783.333)</f>
        <v>0.7982408949519515</v>
      </c>
      <c r="L125" s="2">
        <f>0.278756060178339*(8350/2783.333)</f>
        <v>0.83626828068690717</v>
      </c>
      <c r="M125" s="2">
        <f>0.359931517493861*(8350/2783.333)</f>
        <v>1.079794681798312</v>
      </c>
      <c r="N125" s="2">
        <f>0.258461522147705*(8350/2783.333)</f>
        <v>0.77538465930355216</v>
      </c>
      <c r="O125" s="2">
        <f>0.437556741910482*(8350/2783.333)</f>
        <v>1.3126703829374802</v>
      </c>
      <c r="P125" s="2">
        <f>0.349165042531234*(8350/2783.333)</f>
        <v>1.0474952530422366</v>
      </c>
      <c r="Q125" s="2">
        <f>0.207530506529191*(8350/2783.333)</f>
        <v>0.62259159414944176</v>
      </c>
      <c r="R125" s="2">
        <f>0.0569439529583391*(8350/2783.333)</f>
        <v>0.17083187933392513</v>
      </c>
      <c r="S125" s="2">
        <f>0.015716327706517*(8350/2783.333)</f>
        <v>4.7148988766136483E-2</v>
      </c>
      <c r="T125" s="2">
        <f t="shared" si="16"/>
        <v>0.10069243236843764</v>
      </c>
      <c r="U125" s="2">
        <f t="shared" si="17"/>
        <v>0.11437794326585224</v>
      </c>
      <c r="V125" s="2">
        <f t="shared" si="18"/>
        <v>0.11043877033537902</v>
      </c>
      <c r="W125" s="2">
        <f t="shared" si="19"/>
        <v>0.10705744606724045</v>
      </c>
      <c r="X125" s="2">
        <f t="shared" si="20"/>
        <v>0.11728533803050227</v>
      </c>
      <c r="Y125" s="2">
        <f t="shared" si="21"/>
        <v>0.10928020503416074</v>
      </c>
      <c r="Z125" s="2">
        <f t="shared" si="22"/>
        <v>0.10579568013572224</v>
      </c>
      <c r="AA125" s="2">
        <f t="shared" si="23"/>
        <v>0.11798772791544039</v>
      </c>
      <c r="AB125" s="2">
        <f t="shared" si="24"/>
        <v>0.10026757173055721</v>
      </c>
      <c r="AC125" s="2">
        <f t="shared" si="25"/>
        <v>0.1151901624778385</v>
      </c>
      <c r="AD125" s="2">
        <f t="shared" si="26"/>
        <v>0.10227444344259566</v>
      </c>
      <c r="AE125" s="2">
        <f t="shared" si="27"/>
        <v>0.10987695088187602</v>
      </c>
      <c r="AF125" s="2">
        <f t="shared" si="28"/>
        <v>0.11908712371493149</v>
      </c>
      <c r="AG125" s="2">
        <f t="shared" si="29"/>
        <v>9.9235315312320327E-2</v>
      </c>
      <c r="AH125" s="2">
        <f t="shared" si="30"/>
        <v>0.1199891551819615</v>
      </c>
      <c r="AI125" s="2">
        <f t="shared" si="31"/>
        <v>0.10099811712417744</v>
      </c>
      <c r="AJ125" s="2">
        <f>0.0456320717138291*(8350/2783.333)</f>
        <v>0.13689623153624561</v>
      </c>
      <c r="AK125" s="2">
        <f>0.0794405312978495*(8350/2783.333)</f>
        <v>0.23832162243506017</v>
      </c>
      <c r="AL125" s="2">
        <f>0.0163835963029956*(8350/2783.333)</f>
        <v>4.9150794795309469E-2</v>
      </c>
      <c r="AM125" s="2">
        <f>0.0330491780617232*(8350/2783.333)</f>
        <v>9.9147546059127095E-2</v>
      </c>
      <c r="AN125" s="2">
        <f>0.0574526726490293*(8350/2783.333)</f>
        <v>0.17235803858876902</v>
      </c>
      <c r="AO125" s="2">
        <f>0.128495429702437*(8350/2783.333)</f>
        <v>0.38548633527333914</v>
      </c>
      <c r="AP125" s="2">
        <f>0.156090622339137*(8350/2783.333)</f>
        <v>0.46827192309788018</v>
      </c>
      <c r="AQ125" s="2">
        <f>0.176339748771803*(8350/2783.333)</f>
        <v>0.52901930967101374</v>
      </c>
      <c r="AR125" s="2">
        <f>0.255790563562541*(8350/2783.333)</f>
        <v>0.76737178258843486</v>
      </c>
      <c r="AS125" s="2">
        <f>0.18634784406459*(8350/2783.333)</f>
        <v>0.55904359914509894</v>
      </c>
      <c r="AT125" s="2">
        <f>0.220021276098204*(8350/2783.333)</f>
        <v>0.66006390734418319</v>
      </c>
      <c r="AU125" s="2">
        <f>0.13103199335367*(8350/2783.333)</f>
        <v>0.39309602713837732</v>
      </c>
      <c r="AV125" s="2">
        <f>0.0875159737723147*(8350/2783.333)</f>
        <v>0.26254795275981258</v>
      </c>
      <c r="AW125" s="2">
        <f>0.0797374232551618*(8350/2783.333)</f>
        <v>0.23921229841366479</v>
      </c>
    </row>
    <row r="126" spans="1:49" x14ac:dyDescent="0.25">
      <c r="A126" s="5">
        <v>45748</v>
      </c>
      <c r="B126" s="2">
        <f>0.234880833503308*(8350/2783.333)</f>
        <v>0.70464258489825748</v>
      </c>
      <c r="C126" s="2">
        <f>0.214337480343582*(8350/2783.333)</f>
        <v>0.64301251803823445</v>
      </c>
      <c r="D126" s="2">
        <f>0.174872000710966*(8350/2783.333)</f>
        <v>0.52461606496116797</v>
      </c>
      <c r="E126" s="2">
        <f>0.20569922454702*(8350/2783.333)</f>
        <v>0.61709774754498248</v>
      </c>
      <c r="F126" s="2">
        <f>0.170291390537179*(8350/2783.333)</f>
        <v>0.51087423279408106</v>
      </c>
      <c r="G126" s="2">
        <f>0.205155844099033*(8350/2783.333)</f>
        <v>0.61546760600579375</v>
      </c>
      <c r="H126" s="2">
        <f>0.185746626653007*(8350/2783.333)</f>
        <v>0.55723994669434274</v>
      </c>
      <c r="I126" s="2">
        <f>0.204568356180529*(8350/2783.333)</f>
        <v>0.61370514203920967</v>
      </c>
      <c r="J126" s="2">
        <f>0.172704907598896*(8350/2783.333)</f>
        <v>0.51811478484636375</v>
      </c>
      <c r="K126" s="2">
        <f>0.208988240775815*(8350/2783.333)</f>
        <v>0.62696479741304889</v>
      </c>
      <c r="L126" s="2">
        <f>0.220092471394539*(8350/2783.333)</f>
        <v>0.66027749325876739</v>
      </c>
      <c r="M126" s="2">
        <f>0.309708515052857*(8350/2783.333)</f>
        <v>0.92912565643110523</v>
      </c>
      <c r="N126" s="2">
        <f>0.353020615616377*(8350/2783.333)</f>
        <v>1.0590619736828999</v>
      </c>
      <c r="O126" s="2">
        <f>0.333144060149869*(8350/2783.333)</f>
        <v>0.99943230014209827</v>
      </c>
      <c r="P126" s="2">
        <f>0.274590286533822*(8350/2783.333)</f>
        <v>0.82377095825667179</v>
      </c>
      <c r="Q126" s="2">
        <f>0.134423169001863*(8350/2783.333)</f>
        <v>0.40326955530134295</v>
      </c>
      <c r="R126" s="2">
        <f>0.1466399834352*(8350/2783.333)</f>
        <v>0.43992000299063094</v>
      </c>
      <c r="S126" s="2">
        <f>0.0368255129593879*(8350/2783.333)</f>
        <v>0.11047655210888849</v>
      </c>
      <c r="T126" s="2">
        <f t="shared" si="16"/>
        <v>0.10069243236843764</v>
      </c>
      <c r="U126" s="2">
        <f t="shared" si="17"/>
        <v>0.11437794326585224</v>
      </c>
      <c r="V126" s="2">
        <f t="shared" si="18"/>
        <v>0.11043877033537902</v>
      </c>
      <c r="W126" s="2">
        <f t="shared" si="19"/>
        <v>0.10705744606724045</v>
      </c>
      <c r="X126" s="2">
        <f t="shared" si="20"/>
        <v>0.11728533803050227</v>
      </c>
      <c r="Y126" s="2">
        <f t="shared" si="21"/>
        <v>0.10928020503416074</v>
      </c>
      <c r="Z126" s="2">
        <f t="shared" si="22"/>
        <v>0.10579568013572224</v>
      </c>
      <c r="AA126" s="2">
        <f t="shared" si="23"/>
        <v>0.11798772791544039</v>
      </c>
      <c r="AB126" s="2">
        <f t="shared" si="24"/>
        <v>0.10026757173055721</v>
      </c>
      <c r="AC126" s="2">
        <f t="shared" si="25"/>
        <v>0.1151901624778385</v>
      </c>
      <c r="AD126" s="2">
        <f t="shared" si="26"/>
        <v>0.10227444344259566</v>
      </c>
      <c r="AE126" s="2">
        <f t="shared" si="27"/>
        <v>0.10987695088187602</v>
      </c>
      <c r="AF126" s="2">
        <f t="shared" si="28"/>
        <v>0.11908712371493149</v>
      </c>
      <c r="AG126" s="2">
        <f t="shared" si="29"/>
        <v>9.9235315312320327E-2</v>
      </c>
      <c r="AH126" s="2">
        <f t="shared" si="30"/>
        <v>0.1199891551819615</v>
      </c>
      <c r="AI126" s="2">
        <f t="shared" si="31"/>
        <v>0.10099811712417744</v>
      </c>
      <c r="AJ126" s="2">
        <f>0.00682207052200103*(8350/2783.333)</f>
        <v>2.0466214017046687E-2</v>
      </c>
      <c r="AK126" s="2">
        <f>0.0455658896500873*(8350/2783.333)</f>
        <v>0.13669768532124205</v>
      </c>
      <c r="AL126" s="2">
        <f>0.068983563381034*(8350/2783.333)</f>
        <v>0.20695071492761885</v>
      </c>
      <c r="AM126" s="2">
        <f>0.0145416383471582*(8350/2783.333)</f>
        <v>4.3624920266015887E-2</v>
      </c>
      <c r="AN126" s="2">
        <f>0.165525808226663*(8350/2783.333)</f>
        <v>0.49657748415034553</v>
      </c>
      <c r="AO126" s="2">
        <f>0.128346189946685*(8350/2783.333)</f>
        <v>0.38503861595246436</v>
      </c>
      <c r="AP126" s="2">
        <f>0.104449114414769*(8350/2783.333)</f>
        <v>0.31334738077094004</v>
      </c>
      <c r="AQ126" s="2">
        <f>0.181252191340854*(8350/2783.333)</f>
        <v>0.54375663914311734</v>
      </c>
      <c r="AR126" s="2">
        <f>0.261180786166349*(8350/2783.333)</f>
        <v>0.78354245233646735</v>
      </c>
      <c r="AS126" s="2">
        <f>0.161104866050664*(8350/2783.333)</f>
        <v>0.48331465603398555</v>
      </c>
      <c r="AT126" s="2">
        <f>0.241826663371723*(8350/2783.333)</f>
        <v>0.72548007699900929</v>
      </c>
      <c r="AU126" s="2">
        <f>0.142144833296323*(8350/2783.333)</f>
        <v>0.42643455095897392</v>
      </c>
      <c r="AV126" s="2">
        <f>0.124226214098047*(8350/2783.333)</f>
        <v>0.37267868692631789</v>
      </c>
      <c r="AW126" s="2">
        <f>0.100565522117134*(8350/2783.333)</f>
        <v>0.301696602482731</v>
      </c>
    </row>
    <row r="127" spans="1:49" x14ac:dyDescent="0.25">
      <c r="A127" s="5">
        <v>45749</v>
      </c>
      <c r="B127" s="2">
        <f>0.265700187402351*(8350/2783.333)</f>
        <v>0.79710065766820815</v>
      </c>
      <c r="C127" s="2">
        <f>0.209531707241708*(8350/2783.333)</f>
        <v>0.62859519700598709</v>
      </c>
      <c r="D127" s="2">
        <f>0.17526321324052*(8350/2783.333)</f>
        <v>0.52578970269038794</v>
      </c>
      <c r="E127" s="2">
        <f>0.202919505296385*(8350/2783.333)</f>
        <v>0.60875858879437461</v>
      </c>
      <c r="F127" s="2">
        <f>0.140216993584512*(8350/2783.333)</f>
        <v>0.42065103113090618</v>
      </c>
      <c r="G127" s="2">
        <f>0.204208242047767*(8350/2783.333)</f>
        <v>0.61262479951154081</v>
      </c>
      <c r="H127" s="2">
        <f>0.207234025623149*(8350/2783.333)</f>
        <v>0.62170215132479356</v>
      </c>
      <c r="I127" s="2">
        <f>0.216218034778509*(8350/2783.333)</f>
        <v>0.64865418201866343</v>
      </c>
      <c r="J127" s="2">
        <f>0.173101019772288*(8350/2783.333)</f>
        <v>0.51930312150885516</v>
      </c>
      <c r="K127" s="2">
        <f>0.229939442858603*(8350/2783.333)</f>
        <v>0.68981841118879295</v>
      </c>
      <c r="L127" s="2">
        <f>0.245887808306565*(8350/2783.333)</f>
        <v>0.73766351326263002</v>
      </c>
      <c r="M127" s="2">
        <f>0.292086408933207*(8350/2783.333)</f>
        <v>0.87625933174085813</v>
      </c>
      <c r="N127" s="2">
        <f>0.295103170866815*(8350/2783.333)</f>
        <v>0.88530961862554891</v>
      </c>
      <c r="O127" s="2">
        <f>0.263660800704857*(8350/2783.333)</f>
        <v>0.79098249684301369</v>
      </c>
      <c r="P127" s="2">
        <f>0.399168925165337*(8350/2783.333)</f>
        <v>1.1975069189100132</v>
      </c>
      <c r="Q127" s="2">
        <f>0.274506260909067*(8350/2783.333)</f>
        <v>0.82351888135221618</v>
      </c>
      <c r="R127" s="2">
        <f>0.267599360634287*(8350/2783.333)</f>
        <v>0.80279817804635412</v>
      </c>
      <c r="S127" s="2">
        <f>0.161939808034798*(8350/2783.333)</f>
        <v>0.48581948228636729</v>
      </c>
      <c r="T127" s="2">
        <f t="shared" si="16"/>
        <v>0.10069243236843764</v>
      </c>
      <c r="U127" s="2">
        <f t="shared" si="17"/>
        <v>0.11437794326585224</v>
      </c>
      <c r="V127" s="2">
        <f t="shared" si="18"/>
        <v>0.11043877033537902</v>
      </c>
      <c r="W127" s="2">
        <f t="shared" si="19"/>
        <v>0.10705744606724045</v>
      </c>
      <c r="X127" s="2">
        <f t="shared" si="20"/>
        <v>0.11728533803050227</v>
      </c>
      <c r="Y127" s="2">
        <f t="shared" si="21"/>
        <v>0.10928020503416074</v>
      </c>
      <c r="Z127" s="2">
        <f t="shared" si="22"/>
        <v>0.10579568013572224</v>
      </c>
      <c r="AA127" s="2">
        <f t="shared" si="23"/>
        <v>0.11798772791544039</v>
      </c>
      <c r="AB127" s="2">
        <f t="shared" si="24"/>
        <v>0.10026757173055721</v>
      </c>
      <c r="AC127" s="2">
        <f t="shared" si="25"/>
        <v>0.1151901624778385</v>
      </c>
      <c r="AD127" s="2">
        <f t="shared" si="26"/>
        <v>0.10227444344259566</v>
      </c>
      <c r="AE127" s="2">
        <f t="shared" si="27"/>
        <v>0.10987695088187602</v>
      </c>
      <c r="AF127" s="2">
        <f t="shared" si="28"/>
        <v>0.11908712371493149</v>
      </c>
      <c r="AG127" s="2">
        <f t="shared" si="29"/>
        <v>9.9235315312320327E-2</v>
      </c>
      <c r="AH127" s="2">
        <f t="shared" si="30"/>
        <v>0.1199891551819615</v>
      </c>
      <c r="AI127" s="2">
        <f t="shared" si="31"/>
        <v>0.10099811712417744</v>
      </c>
      <c r="AJ127" s="2">
        <f>0.0300171102968045*(8350/2783.333)</f>
        <v>9.0051341675005434E-2</v>
      </c>
      <c r="AK127" s="2">
        <f>0.184062212139168*(8350/2783.333)</f>
        <v>0.5521867025476489</v>
      </c>
      <c r="AL127" s="2">
        <f>0.00229945211270113*(8350/2783.333)</f>
        <v>6.8983571642539602E-3</v>
      </c>
      <c r="AM127" s="2">
        <f>0.227378345064655*(8350/2783.333)</f>
        <v>0.68213511688679418</v>
      </c>
      <c r="AN127" s="2">
        <f>0.0760859718865523*(8350/2783.333)</f>
        <v>0.22825794299593735</v>
      </c>
      <c r="AO127" s="2">
        <f>0.0614867793698073*(8350/2783.333)</f>
        <v>0.18446036020048295</v>
      </c>
      <c r="AP127" s="2">
        <f>0.123273276980748*(8350/2783.333)</f>
        <v>0.36981987523205062</v>
      </c>
      <c r="AQ127" s="2">
        <f>0.150591773927121*(8350/2783.333)</f>
        <v>0.45177537588619721</v>
      </c>
      <c r="AR127" s="2">
        <f>0.239456555672213*(8350/2783.333)</f>
        <v>0.71836975304894379</v>
      </c>
      <c r="AS127" s="2">
        <f>0.195994842031696*(8350/2783.333)</f>
        <v>0.58798459651240376</v>
      </c>
      <c r="AT127" s="2">
        <f>0.223136331422993*(8350/2783.333)</f>
        <v>0.66940907443772946</v>
      </c>
      <c r="AU127" s="2">
        <f>0.127880590981872*(8350/2783.333)</f>
        <v>0.38364181889074545</v>
      </c>
      <c r="AV127" s="2">
        <f>0.105948541699581*(8350/2783.333)</f>
        <v>0.31784566316409157</v>
      </c>
      <c r="AW127" s="2">
        <f>0.106938298634603*(8350/2783.333)</f>
        <v>0.32081493432475894</v>
      </c>
    </row>
    <row r="128" spans="1:49" x14ac:dyDescent="0.25">
      <c r="A128" s="5">
        <v>45750</v>
      </c>
      <c r="B128" s="2">
        <f>0.309127458805546*(8350/2783.333)</f>
        <v>0.92738248748041041</v>
      </c>
      <c r="C128" s="2">
        <f>0.277293107978132*(8350/2783.333)</f>
        <v>0.83187942356067546</v>
      </c>
      <c r="D128" s="2">
        <f>0.196779902366031*(8350/2783.333)</f>
        <v>0.59033977779746671</v>
      </c>
      <c r="E128" s="2">
        <f>0.207089084172338*(8350/2783.333)</f>
        <v>0.62126732692028608</v>
      </c>
      <c r="F128" s="2">
        <f>0.167166777866773*(8350/2783.333)</f>
        <v>0.5015003936602449</v>
      </c>
      <c r="G128" s="2">
        <f>0.270066584610736*(8350/2783.333)</f>
        <v>0.81019985086213031</v>
      </c>
      <c r="H128" s="2">
        <f>0.220603962760126*(8350/2783.333)</f>
        <v>0.6618119675392965</v>
      </c>
      <c r="I128" s="2">
        <f>0.247905160565015*(8350/2783.333)</f>
        <v>0.74371557076277794</v>
      </c>
      <c r="J128" s="2">
        <f>0.17547769281264*(8350/2783.333)</f>
        <v>0.52643314148380516</v>
      </c>
      <c r="K128" s="2">
        <f>0.250366864889322*(8350/2783.333)</f>
        <v>0.7511006846201439</v>
      </c>
      <c r="L128" s="2">
        <f>0.241311216273786*(8350/2783.333)</f>
        <v>0.72393373552000895</v>
      </c>
      <c r="M128" s="2">
        <f>0.547166395015148*(8350/2783.333)</f>
        <v>1.6414993816321948</v>
      </c>
      <c r="N128" s="2">
        <f>0.263189476821138*(8350/2783.333)</f>
        <v>0.78956852502251906</v>
      </c>
      <c r="O128" s="2">
        <f>0.289200593365726*(8350/2783.333)</f>
        <v>0.86760188400159577</v>
      </c>
      <c r="P128" s="2">
        <f>0.305627179203265*(8350/2783.333)</f>
        <v>0.91688164741598177</v>
      </c>
      <c r="Q128" s="2">
        <f>0.403269507005588*(8350/2783.333)</f>
        <v>1.2098086659040288</v>
      </c>
      <c r="R128" s="2">
        <f>0.166365666486128*(8350/2783.333)</f>
        <v>0.49909705923048719</v>
      </c>
      <c r="S128" s="2">
        <f>0.0517714324449972*(8350/2783.333)</f>
        <v>0.15531431593550846</v>
      </c>
      <c r="T128" s="2">
        <f t="shared" si="16"/>
        <v>0.10069243236843764</v>
      </c>
      <c r="U128" s="2">
        <f t="shared" si="17"/>
        <v>0.11437794326585224</v>
      </c>
      <c r="V128" s="2">
        <f t="shared" si="18"/>
        <v>0.11043877033537902</v>
      </c>
      <c r="W128" s="2">
        <f t="shared" si="19"/>
        <v>0.10705744606724045</v>
      </c>
      <c r="X128" s="2">
        <f t="shared" si="20"/>
        <v>0.11728533803050227</v>
      </c>
      <c r="Y128" s="2">
        <f t="shared" si="21"/>
        <v>0.10928020503416074</v>
      </c>
      <c r="Z128" s="2">
        <f t="shared" si="22"/>
        <v>0.10579568013572224</v>
      </c>
      <c r="AA128" s="2">
        <f t="shared" si="23"/>
        <v>0.11798772791544039</v>
      </c>
      <c r="AB128" s="2">
        <f t="shared" si="24"/>
        <v>0.10026757173055721</v>
      </c>
      <c r="AC128" s="2">
        <f t="shared" si="25"/>
        <v>0.1151901624778385</v>
      </c>
      <c r="AD128" s="2">
        <f t="shared" si="26"/>
        <v>0.10227444344259566</v>
      </c>
      <c r="AE128" s="2">
        <f t="shared" si="27"/>
        <v>0.10987695088187602</v>
      </c>
      <c r="AF128" s="2">
        <f t="shared" si="28"/>
        <v>0.11908712371493149</v>
      </c>
      <c r="AG128" s="2">
        <f t="shared" si="29"/>
        <v>9.9235315312320327E-2</v>
      </c>
      <c r="AH128" s="2">
        <f t="shared" si="30"/>
        <v>0.1199891551819615</v>
      </c>
      <c r="AI128" s="2">
        <f t="shared" si="31"/>
        <v>0.10099811712417744</v>
      </c>
      <c r="AJ128" s="2">
        <f>0.0680691036528547*(8350/2783.333)</f>
        <v>0.20420733541453256</v>
      </c>
      <c r="AK128" s="2">
        <f>0.0704472636037533*(8350/2783.333)</f>
        <v>0.21134181612165709</v>
      </c>
      <c r="AL128" s="2">
        <f>0.181944148417477*(8350/2783.333)</f>
        <v>0.54583251062159455</v>
      </c>
      <c r="AM128" s="2">
        <f>0.0710557328327048*(8350/2783.333)</f>
        <v>0.21316722402712318</v>
      </c>
      <c r="AN128" s="2">
        <f>0.274841163753464*(8350/2783.333)</f>
        <v>0.82452359000573294</v>
      </c>
      <c r="AO128" s="2">
        <f>0.0783508717697787*(8350/2783.333)</f>
        <v>0.23505264345935328</v>
      </c>
      <c r="AP128" s="2">
        <f>0.108946923169472*(8350/2783.333)</f>
        <v>0.32684080865102871</v>
      </c>
      <c r="AQ128" s="2">
        <f>0.145340542215376*(8350/2783.333)</f>
        <v>0.43602167886429377</v>
      </c>
      <c r="AR128" s="2">
        <f>0.185717669713032*(8350/2783.333)</f>
        <v>0.55715307586401674</v>
      </c>
      <c r="AS128" s="2">
        <f>0.255484662828847*(8350/2783.333)</f>
        <v>0.76645408027744788</v>
      </c>
      <c r="AT128" s="2">
        <f>0.172967545665876*(8350/2783.333)</f>
        <v>0.51890269914166409</v>
      </c>
      <c r="AU128" s="2">
        <f>0.197709033009588*(8350/2783.333)</f>
        <v>0.59312717006195681</v>
      </c>
      <c r="AV128" s="2">
        <f>0.14730564788933*(8350/2783.333)</f>
        <v>0.44191699659217998</v>
      </c>
      <c r="AW128" s="2">
        <f>0.113155641578475*(8350/2783.333)</f>
        <v>0.33946696539015198</v>
      </c>
    </row>
    <row r="129" spans="1:49" x14ac:dyDescent="0.25">
      <c r="A129" s="5">
        <v>45751</v>
      </c>
      <c r="B129" s="2">
        <f>0.304924819637495*(8350/2783.333)</f>
        <v>0.9147745684663261</v>
      </c>
      <c r="C129" s="2">
        <f>0.262395211362323*(8350/2783.333)</f>
        <v>0.78718572836070899</v>
      </c>
      <c r="D129" s="2">
        <f>0.176436850829185*(8350/2783.333)</f>
        <v>0.52931061587804673</v>
      </c>
      <c r="E129" s="2">
        <f>0.208478943797656*(8350/2783.333)</f>
        <v>0.62543690629559034</v>
      </c>
      <c r="F129" s="2">
        <f>0.177321769045595*(8350/2783.333)</f>
        <v>0.53196537084521256</v>
      </c>
      <c r="G129" s="2">
        <f>0.209893854355362*(8350/2783.333)</f>
        <v>0.62968163847705916</v>
      </c>
      <c r="H129" s="2">
        <f>0.212486500926961*(8350/2783.333)</f>
        <v>0.6374595791233485</v>
      </c>
      <c r="I129" s="2">
        <f>0.209228227619721*(8350/2783.333)</f>
        <v>0.62768475803099122</v>
      </c>
      <c r="J129" s="2">
        <f>0.169932122385153*(8350/2783.333)</f>
        <v>0.50979642820892201</v>
      </c>
      <c r="K129" s="2">
        <f>0.229939442858603*(8350/2783.333)</f>
        <v>0.68981841118879295</v>
      </c>
      <c r="L129" s="2">
        <f>0.241727270094948*(8350/2783.333)</f>
        <v>0.72518189713297476</v>
      </c>
      <c r="M129" s="2">
        <f>0.318960120765674*(8350/2783.333)</f>
        <v>0.9568804768934861</v>
      </c>
      <c r="N129" s="2">
        <f>0.468461508892714*(8350/2783.333)</f>
        <v>1.4053846949876874</v>
      </c>
      <c r="O129" s="2">
        <f>0.306101926744243*(8350/2783.333)</f>
        <v>0.91830589020948139</v>
      </c>
      <c r="P129" s="2">
        <f>0.200446598490153*(8350/2783.333)</f>
        <v>0.60133986748720991</v>
      </c>
      <c r="Q129" s="2">
        <f>0.207530506529191*(8350/2783.333)</f>
        <v>0.62259159414944176</v>
      </c>
      <c r="R129" s="2">
        <f>0.0807636456990823*(8350/2783.333)</f>
        <v>0.24229096611412912</v>
      </c>
      <c r="S129" s="2">
        <f>0.00169489808599693*(8350/2783.333)</f>
        <v>5.0846948669362891E-3</v>
      </c>
      <c r="T129" s="2">
        <f t="shared" si="16"/>
        <v>0.10069243236843764</v>
      </c>
      <c r="U129" s="2">
        <f t="shared" si="17"/>
        <v>0.11437794326585224</v>
      </c>
      <c r="V129" s="2">
        <f t="shared" si="18"/>
        <v>0.11043877033537902</v>
      </c>
      <c r="W129" s="2">
        <f t="shared" si="19"/>
        <v>0.10705744606724045</v>
      </c>
      <c r="X129" s="2">
        <f t="shared" si="20"/>
        <v>0.11728533803050227</v>
      </c>
      <c r="Y129" s="2">
        <f t="shared" si="21"/>
        <v>0.10928020503416074</v>
      </c>
      <c r="Z129" s="2">
        <f t="shared" si="22"/>
        <v>0.10579568013572224</v>
      </c>
      <c r="AA129" s="2">
        <f t="shared" si="23"/>
        <v>0.11798772791544039</v>
      </c>
      <c r="AB129" s="2">
        <f t="shared" si="24"/>
        <v>0.10026757173055721</v>
      </c>
      <c r="AC129" s="2">
        <f t="shared" si="25"/>
        <v>0.1151901624778385</v>
      </c>
      <c r="AD129" s="2">
        <f t="shared" si="26"/>
        <v>0.10227444344259566</v>
      </c>
      <c r="AE129" s="2">
        <f t="shared" si="27"/>
        <v>0.10987695088187602</v>
      </c>
      <c r="AF129" s="2">
        <f t="shared" si="28"/>
        <v>0.11908712371493149</v>
      </c>
      <c r="AG129" s="2">
        <f t="shared" si="29"/>
        <v>9.9235315312320327E-2</v>
      </c>
      <c r="AH129" s="2">
        <f t="shared" si="30"/>
        <v>0.1199891551819615</v>
      </c>
      <c r="AI129" s="2">
        <f t="shared" si="31"/>
        <v>0.10099811712417744</v>
      </c>
      <c r="AJ129" s="2">
        <f>0.000606406268622314*(8350/2783.333)</f>
        <v>1.8192190237374835E-3</v>
      </c>
      <c r="AK129" s="2">
        <f>0.00299775589803206*(8350/2783.333)</f>
        <v>8.9932687711343478E-3</v>
      </c>
      <c r="AL129" s="2">
        <f>0.0290305829228518*(8350/2783.333)</f>
        <v>8.7091759198706251E-2</v>
      </c>
      <c r="AM129" s="2">
        <f>0.0525481931181398*(8350/2783.333)</f>
        <v>0.15764459823401203</v>
      </c>
      <c r="AN129" s="2">
        <f>0.0972037110224117*(8350/2783.333)</f>
        <v>0.29161116799072812</v>
      </c>
      <c r="AO129" s="2">
        <f>0.228635305812002*(8350/2783.333)</f>
        <v>0.68590599958043674</v>
      </c>
      <c r="AP129" s="2">
        <f>0.136433532225991*(8350/2783.333)</f>
        <v>0.40930064569601288</v>
      </c>
      <c r="AQ129" s="2">
        <f>0.161941210207342*(8350/2783.333)</f>
        <v>0.48582368880450461</v>
      </c>
      <c r="AR129" s="2">
        <f>0.14079914801463*(8350/2783.333)</f>
        <v>0.4223974946304157</v>
      </c>
      <c r="AS129" s="2">
        <f>0.14341870311097*(8350/2783.333)</f>
        <v>0.43025616086059393</v>
      </c>
      <c r="AT129" s="2">
        <f>0.216742270493164*(8350/2783.333)</f>
        <v>0.65022688935097628</v>
      </c>
      <c r="AU129" s="2">
        <f>0.222754388701238*(8350/2783.333)</f>
        <v>0.66826324613524135</v>
      </c>
      <c r="AV129" s="2">
        <f>0.193464515471896*(8350/2783.333)</f>
        <v>0.58039361592390459</v>
      </c>
      <c r="AW129" s="2">
        <f>0.129787033953333*(8350/2783.333)</f>
        <v>0.38936114849007813</v>
      </c>
    </row>
    <row r="130" spans="1:49" x14ac:dyDescent="0.25">
      <c r="A130" s="5">
        <v>45752</v>
      </c>
      <c r="B130" s="2">
        <f>0.240017392486482*(8350/2783.333)</f>
        <v>0.72005226369324937</v>
      </c>
      <c r="C130" s="2">
        <f>0.22779364502883*(8350/2783.333)</f>
        <v>0.68338101692852726</v>
      </c>
      <c r="D130" s="2">
        <f>0.200300815132023*(8350/2783.333)</f>
        <v>0.60090251736044287</v>
      </c>
      <c r="E130" s="2">
        <f>0.227010405468558*(8350/2783.333)</f>
        <v>0.68103129796630901</v>
      </c>
      <c r="F130" s="2">
        <f>0.18864848997582*(8350/2783.333)</f>
        <v>0.56594553770536959</v>
      </c>
      <c r="G130" s="2">
        <f>0.237374313842068*(8350/2783.333)</f>
        <v>0.71212302681039852</v>
      </c>
      <c r="H130" s="2">
        <f>0.23540639316178*(8350/2783.333)</f>
        <v>0.70621926406249647</v>
      </c>
      <c r="I130" s="2">
        <f>0.231595610527843*(8350/2783.333)</f>
        <v>0.69478691479154309</v>
      </c>
      <c r="J130" s="2">
        <f>0.198056086695982*(8350/2783.333)</f>
        <v>0.59416833124582991</v>
      </c>
      <c r="K130" s="2">
        <f>0.255080885357949*(8350/2783.333)</f>
        <v>0.76524274771968637</v>
      </c>
      <c r="L130" s="2">
        <f>0.261281799689548*(8350/2783.333)</f>
        <v>0.78384549294235473</v>
      </c>
      <c r="M130" s="2">
        <f>0.26873711832467*(8350/2783.333)</f>
        <v>0.80621145152627904</v>
      </c>
      <c r="N130" s="2">
        <f>0.232851767666606*(8350/2783.333)</f>
        <v>0.69855538665914518</v>
      </c>
      <c r="O130" s="2">
        <f>0.221595259851661*(8350/2783.333)</f>
        <v>0.66478585917005451</v>
      </c>
      <c r="P130" s="2">
        <f>0.195273783045246*(8350/2783.333)</f>
        <v>0.58582141929399123</v>
      </c>
      <c r="Q130" s="2">
        <f>0.449492210732544*(8350/2783.333)</f>
        <v>1.3484767936918594</v>
      </c>
      <c r="R130" s="2">
        <f>0.066620703134266*(8350/2783.333)</f>
        <v>0.19986213333838296</v>
      </c>
      <c r="S130" s="2">
        <f>0.0106316334485262*(8350/2783.333)</f>
        <v>3.1894904165327635E-2</v>
      </c>
      <c r="T130" s="2">
        <f t="shared" ref="T130:T193" si="32">0.0335641401031546*(8350/2783.333)</f>
        <v>0.10069243236843764</v>
      </c>
      <c r="U130" s="2">
        <f t="shared" ref="U130:U193" si="33">0.0381259765226317*(8350/2783.333)</f>
        <v>0.11437794326585224</v>
      </c>
      <c r="V130" s="2">
        <f t="shared" ref="V130:V193" si="34">0.036812919036393*(8350/2783.333)</f>
        <v>0.11043877033537902</v>
      </c>
      <c r="W130" s="2">
        <f t="shared" ref="W130:W193" si="35">0.0356858110819965*(8350/2783.333)</f>
        <v>0.10705744606724045</v>
      </c>
      <c r="X130" s="2">
        <f t="shared" ref="X130:X193" si="36">0.0390951079947847*(8350/2783.333)</f>
        <v>0.11728533803050227</v>
      </c>
      <c r="Y130" s="2">
        <f t="shared" ref="Y130:Y193" si="37">0.0364267306489037*(8350/2783.333)</f>
        <v>0.10928020503416074</v>
      </c>
      <c r="Z130" s="2">
        <f t="shared" ref="Z130:Z193" si="38">0.035265222488527*(8350/2783.333)</f>
        <v>0.10579568013572224</v>
      </c>
      <c r="AA130" s="2">
        <f t="shared" ref="AA130:AA193" si="39">0.0393292379283912*(8350/2783.333)</f>
        <v>0.11798772791544039</v>
      </c>
      <c r="AB130" s="2">
        <f t="shared" ref="AB130:AB193" si="40">0.0334225199074883*(8350/2783.333)</f>
        <v>0.10026757173055721</v>
      </c>
      <c r="AC130" s="2">
        <f t="shared" ref="AC130:AC193" si="41">0.0383967162275365*(8350/2783.333)</f>
        <v>0.1151901624778385</v>
      </c>
      <c r="AD130" s="2">
        <f t="shared" ref="AD130:AD193" si="42">0.0340914770647198*(8350/2783.333)</f>
        <v>0.10227444344259566</v>
      </c>
      <c r="AE130" s="2">
        <f t="shared" ref="AE130:AE193" si="43">0.0366256459076532*(8350/2783.333)</f>
        <v>0.10987695088187602</v>
      </c>
      <c r="AF130" s="2">
        <f t="shared" ref="AF130:AF193" si="44">0.0396957031510002*(8350/2783.333)</f>
        <v>0.11908712371493149</v>
      </c>
      <c r="AG130" s="2">
        <f t="shared" ref="AG130:AG193" si="45">0.0330784344759505*(8350/2783.333)</f>
        <v>9.9235315312320327E-2</v>
      </c>
      <c r="AH130" s="2">
        <f t="shared" ref="AH130:AH193" si="46">0.0399963802706676*(8350/2783.333)</f>
        <v>0.1199891551819615</v>
      </c>
      <c r="AI130" s="2">
        <f t="shared" ref="AI130:AI193" si="47">0.0336660350095315*(8350/2783.333)</f>
        <v>0.10099811712417744</v>
      </c>
      <c r="AJ130" s="2">
        <f>0.0327459385056049*(8350/2783.333)</f>
        <v>9.8237827281824106E-2</v>
      </c>
      <c r="AK130" s="2">
        <f>0.122308440639708*(8350/2783.333)</f>
        <v>0.36692536586228131</v>
      </c>
      <c r="AL130" s="2">
        <f>0.00517376725357755*(8350/2783.333)</f>
        <v>1.5521303619571408E-2</v>
      </c>
      <c r="AM130" s="2">
        <f>0.0175160643727133*(8350/2783.333)</f>
        <v>5.2548199411337315E-2</v>
      </c>
      <c r="AN130" s="2">
        <f>0.0515521278904803*(8350/2783.333)</f>
        <v>0.15465640219316573</v>
      </c>
      <c r="AO130" s="2">
        <f>0.0574573059645044*(8350/2783.333)</f>
        <v>0.17237193853685912</v>
      </c>
      <c r="AP130" s="2">
        <f>0.14126451199956*(8350/2783.333)</f>
        <v>0.42379358675240414</v>
      </c>
      <c r="AQ130" s="2">
        <f>0.109090103947206*(8350/2783.333)</f>
        <v>0.32727035103567054</v>
      </c>
      <c r="AR130" s="2">
        <f>0.106171051287134*(8350/2783.333)</f>
        <v>0.31851319200669387</v>
      </c>
      <c r="AS130" s="2">
        <f>0.164481315339151*(8350/2783.333)</f>
        <v>0.49344400511254194</v>
      </c>
      <c r="AT130" s="2">
        <f>0.200839093308719*(8350/2783.333)</f>
        <v>0.6025173520839231</v>
      </c>
      <c r="AU130" s="2">
        <f>0.137666524662716*(8350/2783.333)</f>
        <v>0.41299962344918134</v>
      </c>
      <c r="AV130" s="2">
        <f>0.153191677983751*(8350/2783.333)</f>
        <v>0.45957508899018523</v>
      </c>
      <c r="AW130" s="2">
        <f>0.080359157549549*(8350/2783.333)</f>
        <v>0.24107750152020413</v>
      </c>
    </row>
    <row r="131" spans="1:49" x14ac:dyDescent="0.25">
      <c r="A131" s="5">
        <v>45753</v>
      </c>
      <c r="B131" s="2">
        <f>0.25075747036039*(8350/2783.333)</f>
        <v>0.75227250117368649</v>
      </c>
      <c r="C131" s="2">
        <f>0.222026717306581*(8350/2783.333)</f>
        <v>0.66608023168983066</v>
      </c>
      <c r="D131" s="2">
        <f>0.18347867636117*(8350/2783.333)</f>
        <v>0.55043609500399959</v>
      </c>
      <c r="E131" s="2">
        <f>0.20755237071411*(8350/2783.333)</f>
        <v>0.62265718671205417</v>
      </c>
      <c r="F131" s="2">
        <f>0.150762561347136*(8350/2783.333)</f>
        <v>0.45228773820760387</v>
      </c>
      <c r="G131" s="2">
        <f>0.220317476919285*(8350/2783.333)</f>
        <v>0.66095250991384324</v>
      </c>
      <c r="H131" s="2">
        <f>0.213918994191638*(8350/2783.333)</f>
        <v>0.64175705943204542</v>
      </c>
      <c r="I131" s="2">
        <f>0.242313314837984*(8350/2783.333)</f>
        <v>0.72694003157263987</v>
      </c>
      <c r="J131" s="2">
        <f>0.220238368405932*(8350/2783.333)</f>
        <v>0.66071518434536269</v>
      </c>
      <c r="K131" s="2">
        <f>0.292269269054899*(8350/2783.333)</f>
        <v>0.87680791217163201</v>
      </c>
      <c r="L131" s="2">
        <f>0.292901890097837*(8350/2783.333)</f>
        <v>0.87870577552773499</v>
      </c>
      <c r="M131" s="2">
        <f>0.52337655175362*(8350/2783.333)</f>
        <v>1.5701298433003608</v>
      </c>
      <c r="N131" s="2">
        <f>0.570506530594323*(8350/2783.333)</f>
        <v>1.711519796755401</v>
      </c>
      <c r="O131" s="2">
        <f>0.303848415627107*(8350/2783.333)</f>
        <v>0.91154535604843001</v>
      </c>
      <c r="P131" s="2">
        <f>0.231483491159596*(8350/2783.333)</f>
        <v>0.69445055664651933</v>
      </c>
      <c r="Q131" s="2">
        <f>0.177344251034036*(8350/2783.333)</f>
        <v>0.53203281681861359</v>
      </c>
      <c r="R131" s="2">
        <f>0.243407485194469*(8350/2783.333)</f>
        <v>0.7302225430352095</v>
      </c>
      <c r="S131" s="2">
        <f>0.00708775563235081*(8350/2783.333)</f>
        <v>2.1263269443551756E-2</v>
      </c>
      <c r="T131" s="2">
        <f t="shared" si="32"/>
        <v>0.10069243236843764</v>
      </c>
      <c r="U131" s="2">
        <f t="shared" si="33"/>
        <v>0.11437794326585224</v>
      </c>
      <c r="V131" s="2">
        <f t="shared" si="34"/>
        <v>0.11043877033537902</v>
      </c>
      <c r="W131" s="2">
        <f t="shared" si="35"/>
        <v>0.10705744606724045</v>
      </c>
      <c r="X131" s="2">
        <f t="shared" si="36"/>
        <v>0.11728533803050227</v>
      </c>
      <c r="Y131" s="2">
        <f t="shared" si="37"/>
        <v>0.10928020503416074</v>
      </c>
      <c r="Z131" s="2">
        <f t="shared" si="38"/>
        <v>0.10579568013572224</v>
      </c>
      <c r="AA131" s="2">
        <f t="shared" si="39"/>
        <v>0.11798772791544039</v>
      </c>
      <c r="AB131" s="2">
        <f t="shared" si="40"/>
        <v>0.10026757173055721</v>
      </c>
      <c r="AC131" s="2">
        <f t="shared" si="41"/>
        <v>0.1151901624778385</v>
      </c>
      <c r="AD131" s="2">
        <f t="shared" si="42"/>
        <v>0.10227444344259566</v>
      </c>
      <c r="AE131" s="2">
        <f t="shared" si="43"/>
        <v>0.10987695088187602</v>
      </c>
      <c r="AF131" s="2">
        <f t="shared" si="44"/>
        <v>0.11908712371493149</v>
      </c>
      <c r="AG131" s="2">
        <f t="shared" si="45"/>
        <v>9.9235315312320327E-2</v>
      </c>
      <c r="AH131" s="2">
        <f t="shared" si="46"/>
        <v>0.1199891551819615</v>
      </c>
      <c r="AI131" s="2">
        <f t="shared" si="47"/>
        <v>0.10099811712417744</v>
      </c>
      <c r="AJ131" s="2">
        <f>0*(8350/2783.333)</f>
        <v>0</v>
      </c>
      <c r="AK131" s="2">
        <f>0*(8350/2783.333)</f>
        <v>0</v>
      </c>
      <c r="AL131" s="2">
        <f>0*(8350/2783.333)</f>
        <v>0</v>
      </c>
      <c r="AM131" s="2">
        <f>0.0330491780617232*(8350/2783.333)</f>
        <v>9.9147546059127095E-2</v>
      </c>
      <c r="AN131" s="2">
        <f>0.0736015319882159*(8350/2783.333)</f>
        <v>0.22080462240831492</v>
      </c>
      <c r="AO131" s="2">
        <f>0.0880514558936561*(8350/2783.333)</f>
        <v>0.26415439931622559</v>
      </c>
      <c r="AP131" s="2">
        <f>0.10594838399967*(8350/2783.333)</f>
        <v>0.31784519006430312</v>
      </c>
      <c r="AQ131" s="2">
        <f>0.138225970218819*(8350/2783.333)</f>
        <v>0.41467796031848941</v>
      </c>
      <c r="AR131" s="2">
        <f>0.200091596656521*(8350/2783.333)</f>
        <v>0.60027486185876944</v>
      </c>
      <c r="AS131" s="2">
        <f>0.204355573603187*(8350/2783.333)</f>
        <v>0.61306679423073429</v>
      </c>
      <c r="AT131" s="2">
        <f>0.216086469372156*(8350/2783.333)</f>
        <v>0.64825948575233483</v>
      </c>
      <c r="AU131" s="2">
        <f>0.203514247905003*(8350/2783.333)</f>
        <v>0.61054281683391043</v>
      </c>
      <c r="AV131" s="2">
        <f>0.189282336194281*(8350/2783.333)</f>
        <v>0.56784707658847966</v>
      </c>
      <c r="AW131" s="2">
        <f>0.0663701359258364*(8350/2783.333)</f>
        <v>0.19911043162306988</v>
      </c>
    </row>
    <row r="132" spans="1:49" x14ac:dyDescent="0.25">
      <c r="A132" s="5">
        <v>45754</v>
      </c>
      <c r="B132" s="2">
        <f>0.22460771553696*(8350/2783.333)</f>
        <v>0.67382322730827393</v>
      </c>
      <c r="C132" s="2">
        <f>0.227313067718642*(8350/2783.333)</f>
        <v>0.68193928482530231</v>
      </c>
      <c r="D132" s="2">
        <f>0.184652313949834*(8350/2783.333)</f>
        <v>0.55395700819165872</v>
      </c>
      <c r="E132" s="2">
        <f>0.214964955382472*(8350/2783.333)</f>
        <v>0.64489494338034214</v>
      </c>
      <c r="F132" s="2">
        <f>0.176150039294192*(8350/2783.333)</f>
        <v>0.52845018117002407</v>
      </c>
      <c r="G132" s="2">
        <f>0.216053267688589*(8350/2783.333)</f>
        <v>0.6481598806897042</v>
      </c>
      <c r="H132" s="2">
        <f>0.218693971740558*(8350/2783.333)</f>
        <v>0.65608199379436782</v>
      </c>
      <c r="I132" s="2">
        <f>0.226003764800813*(8350/2783.333)</f>
        <v>0.67801137560140523</v>
      </c>
      <c r="J132" s="2">
        <f>0.208355003204173*(8350/2783.333)</f>
        <v>0.62506508447061293</v>
      </c>
      <c r="K132" s="2">
        <f>0.255604665410019*(8350/2783.333)</f>
        <v>0.76681408806407958</v>
      </c>
      <c r="L132" s="2">
        <f>0.279588167820662*(8350/2783.333)</f>
        <v>0.83876460391283825</v>
      </c>
      <c r="M132" s="2">
        <f>0.293408066892181*(8350/2783.333)</f>
        <v>0.88022430609262625</v>
      </c>
      <c r="N132" s="2">
        <f>0.290769212416168*(8350/2783.333)</f>
        <v>0.87230774171649617</v>
      </c>
      <c r="O132" s="2">
        <f>0.280937719269563*(8350/2783.333)</f>
        <v>0.8428132587444076</v>
      </c>
      <c r="P132" s="2">
        <f>0.44917280779944*(8350/2783.333)</f>
        <v>1.34751858477779</v>
      </c>
      <c r="Q132" s="2">
        <f>0.341953675531054*(8350/2783.333)</f>
        <v>1.0258611494507843</v>
      </c>
      <c r="R132" s="2">
        <f>0.241174389000025*(8350/2783.333)</f>
        <v>0.72352325364956527</v>
      </c>
      <c r="S132" s="2">
        <f>0.0858234758091174*(8350/2783.333)</f>
        <v>0.25747045826213755</v>
      </c>
      <c r="T132" s="2">
        <f t="shared" si="32"/>
        <v>0.10069243236843764</v>
      </c>
      <c r="U132" s="2">
        <f t="shared" si="33"/>
        <v>0.11437794326585224</v>
      </c>
      <c r="V132" s="2">
        <f t="shared" si="34"/>
        <v>0.11043877033537902</v>
      </c>
      <c r="W132" s="2">
        <f t="shared" si="35"/>
        <v>0.10705744606724045</v>
      </c>
      <c r="X132" s="2">
        <f t="shared" si="36"/>
        <v>0.11728533803050227</v>
      </c>
      <c r="Y132" s="2">
        <f t="shared" si="37"/>
        <v>0.10928020503416074</v>
      </c>
      <c r="Z132" s="2">
        <f t="shared" si="38"/>
        <v>0.10579568013572224</v>
      </c>
      <c r="AA132" s="2">
        <f t="shared" si="39"/>
        <v>0.11798772791544039</v>
      </c>
      <c r="AB132" s="2">
        <f t="shared" si="40"/>
        <v>0.10026757173055721</v>
      </c>
      <c r="AC132" s="2">
        <f t="shared" si="41"/>
        <v>0.1151901624778385</v>
      </c>
      <c r="AD132" s="2">
        <f t="shared" si="42"/>
        <v>0.10227444344259566</v>
      </c>
      <c r="AE132" s="2">
        <f t="shared" si="43"/>
        <v>0.10987695088187602</v>
      </c>
      <c r="AF132" s="2">
        <f t="shared" si="44"/>
        <v>0.11908712371493149</v>
      </c>
      <c r="AG132" s="2">
        <f t="shared" si="45"/>
        <v>9.9235315312320327E-2</v>
      </c>
      <c r="AH132" s="2">
        <f t="shared" si="46"/>
        <v>0.1199891551819615</v>
      </c>
      <c r="AI132" s="2">
        <f t="shared" si="47"/>
        <v>0.10099811712417744</v>
      </c>
      <c r="AJ132" s="2">
        <f>0.0285010946252488*(8350/2783.333)</f>
        <v>8.5503294115661738E-2</v>
      </c>
      <c r="AK132" s="2">
        <f>0.0584562400116251*(8350/2783.333)</f>
        <v>0.17536874103711977</v>
      </c>
      <c r="AL132" s="2">
        <f>0*(8350/2783.333)</f>
        <v>0</v>
      </c>
      <c r="AM132" s="2">
        <f>0.0115672123216031*(8350/2783.333)</f>
        <v>3.4701641120694494E-2</v>
      </c>
      <c r="AN132" s="2">
        <f>0.0347821585767096*(8350/2783.333)</f>
        <v>0.1043464882267142</v>
      </c>
      <c r="AO132" s="2">
        <f>0.06626245155387*(8350/2783.333)</f>
        <v>0.19878737846848166</v>
      </c>
      <c r="AP132" s="2">
        <f>0.131769137961854*(8350/2783.333)</f>
        <v>0.39530746122777288</v>
      </c>
      <c r="AQ132" s="2">
        <f>0.189213736194144*(8350/2783.333)</f>
        <v>0.56764127656342267</v>
      </c>
      <c r="AR132" s="2">
        <f>0.206625199812653*(8350/2783.333)</f>
        <v>0.61987567367456597</v>
      </c>
      <c r="AS132" s="2">
        <f>0.135379538138382*(8350/2783.333)</f>
        <v>0.4061386630545068</v>
      </c>
      <c r="AT132" s="2">
        <f>0.157720169602439*(8350/2783.333)</f>
        <v>0.47316056547325208</v>
      </c>
      <c r="AU132" s="2">
        <f>0.0905613523684856*(8350/2783.333)</f>
        <v>0.27168408964247348</v>
      </c>
      <c r="AV132" s="2">
        <f>0.0709421521906551*(8350/2783.333)</f>
        <v>0.21282648206016669</v>
      </c>
      <c r="AW132" s="2">
        <f>0.071499443854531*(8350/2783.333)</f>
        <v>0.21449835725201913</v>
      </c>
    </row>
    <row r="133" spans="1:49" x14ac:dyDescent="0.25">
      <c r="A133" s="5">
        <v>45755</v>
      </c>
      <c r="B133" s="2">
        <f>0.209664998495001*(8350/2783.333)</f>
        <v>0.62899507081375272</v>
      </c>
      <c r="C133" s="2">
        <f>0.220584985376019*(8350/2783.333)</f>
        <v>0.66175503538015645</v>
      </c>
      <c r="D133" s="2">
        <f>0.179957763595177*(8350/2783.333)</f>
        <v>0.539873355441023</v>
      </c>
      <c r="E133" s="2">
        <f>0.188094335959663*(8350/2783.333)</f>
        <v>0.56428307545779954</v>
      </c>
      <c r="F133" s="2">
        <f>0.164042165196365*(8350/2783.333)</f>
        <v>0.49212655452640841</v>
      </c>
      <c r="G133" s="2">
        <f>0.220317476919285*(8350/2783.333)</f>
        <v>0.66095250991384324</v>
      </c>
      <c r="H133" s="2">
        <f>0.21678398072099*(8350/2783.333)</f>
        <v>0.65035202004943826</v>
      </c>
      <c r="I133" s="2">
        <f>0.246507199133257*(8350/2783.333)</f>
        <v>0.73952168596524348</v>
      </c>
      <c r="J133" s="2">
        <f>0.208355003204173*(8350/2783.333)</f>
        <v>0.62506508447061293</v>
      </c>
      <c r="K133" s="2">
        <f>0.287555248586272*(8350/2783.333)</f>
        <v>0.86266584907208987</v>
      </c>
      <c r="L133" s="2">
        <f>0.282916598389956*(8350/2783.333)</f>
        <v>0.8487498968165621</v>
      </c>
      <c r="M133" s="2">
        <f>0.385924124020346*(8350/2783.333)</f>
        <v>1.1577725107164272</v>
      </c>
      <c r="N133" s="2">
        <f>0.493283270928241*(8350/2783.333)</f>
        <v>1.4798499900122666</v>
      </c>
      <c r="O133" s="2">
        <f>0.278308622966238*(8350/2783.333)</f>
        <v>0.8349259688898476</v>
      </c>
      <c r="P133" s="2">
        <f>0.566423291217336*(8350/2783.333)</f>
        <v>1.6992700771574056</v>
      </c>
      <c r="Q133" s="2">
        <f>0.399967885310805*(8350/2783.333)</f>
        <v>1.1999037996334692</v>
      </c>
      <c r="R133" s="2">
        <f>0.128030848481495*(8350/2783.333)</f>
        <v>0.38409259144359631</v>
      </c>
      <c r="S133" s="2">
        <f>0.121262253970871*(8350/2783.333)</f>
        <v>0.36378680547989628</v>
      </c>
      <c r="T133" s="2">
        <f t="shared" si="32"/>
        <v>0.10069243236843764</v>
      </c>
      <c r="U133" s="2">
        <f t="shared" si="33"/>
        <v>0.11437794326585224</v>
      </c>
      <c r="V133" s="2">
        <f t="shared" si="34"/>
        <v>0.11043877033537902</v>
      </c>
      <c r="W133" s="2">
        <f t="shared" si="35"/>
        <v>0.10705744606724045</v>
      </c>
      <c r="X133" s="2">
        <f t="shared" si="36"/>
        <v>0.11728533803050227</v>
      </c>
      <c r="Y133" s="2">
        <f t="shared" si="37"/>
        <v>0.10928020503416074</v>
      </c>
      <c r="Z133" s="2">
        <f t="shared" si="38"/>
        <v>0.10579568013572224</v>
      </c>
      <c r="AA133" s="2">
        <f t="shared" si="39"/>
        <v>0.11798772791544039</v>
      </c>
      <c r="AB133" s="2">
        <f t="shared" si="40"/>
        <v>0.10026757173055721</v>
      </c>
      <c r="AC133" s="2">
        <f t="shared" si="41"/>
        <v>0.1151901624778385</v>
      </c>
      <c r="AD133" s="2">
        <f t="shared" si="42"/>
        <v>0.10227444344259566</v>
      </c>
      <c r="AE133" s="2">
        <f t="shared" si="43"/>
        <v>0.10987695088187602</v>
      </c>
      <c r="AF133" s="2">
        <f t="shared" si="44"/>
        <v>0.11908712371493149</v>
      </c>
      <c r="AG133" s="2">
        <f t="shared" si="45"/>
        <v>9.9235315312320327E-2</v>
      </c>
      <c r="AH133" s="2">
        <f t="shared" si="46"/>
        <v>0.1199891551819615</v>
      </c>
      <c r="AI133" s="2">
        <f t="shared" si="47"/>
        <v>0.10099811712417744</v>
      </c>
      <c r="AJ133" s="2">
        <f>0.00924769559649029*(8350/2783.333)</f>
        <v>2.7743090111996625E-2</v>
      </c>
      <c r="AK133" s="2">
        <f>0.020384740106618*(8350/2783.333)</f>
        <v>6.1154227643713567E-2</v>
      </c>
      <c r="AL133" s="2">
        <f>0.105774797184252*(8350/2783.333)</f>
        <v>0.3173244295556823</v>
      </c>
      <c r="AM133" s="2">
        <f>0.0221429493013545*(8350/2783.333)</f>
        <v>6.6428855859615124E-2</v>
      </c>
      <c r="AN133" s="2">
        <f>0.0739120869755079*(8350/2783.333)</f>
        <v>0.22173628748176774</v>
      </c>
      <c r="AO133" s="2">
        <f>0.0871560173591443*(8350/2783.333)</f>
        <v>0.26146808339097583</v>
      </c>
      <c r="AP133" s="2">
        <f>0.126438401659984*(8350/2783.333)</f>
        <v>0.37931525040692782</v>
      </c>
      <c r="AQ133" s="2">
        <f>0.181252191340854*(8350/2783.333)</f>
        <v>0.54375663914311734</v>
      </c>
      <c r="AR133" s="2">
        <f>0.191271232395744*(8350/2783.333)</f>
        <v>0.57381376590744437</v>
      </c>
      <c r="AS133" s="2">
        <f>0.170430297418866*(8350/2783.333)</f>
        <v>0.51129095348904663</v>
      </c>
      <c r="AT133" s="2">
        <f>0.232481497397358*(8350/2783.333)</f>
        <v>0.69744457571836982</v>
      </c>
      <c r="AU133" s="2">
        <f>0.224081294963048*(8350/2783.333)</f>
        <v>0.6722439653974025</v>
      </c>
      <c r="AV133" s="2">
        <f>0.133984632412482*(8350/2783.333)</f>
        <v>0.40195394537564244</v>
      </c>
      <c r="AW133" s="2">
        <f>0.109891536532942*(8350/2783.333)</f>
        <v>0.3296746490808205</v>
      </c>
    </row>
    <row r="134" spans="1:49" x14ac:dyDescent="0.25">
      <c r="A134" s="5">
        <v>45756</v>
      </c>
      <c r="B134" s="2">
        <f>0.211065878217684*(8350/2783.333)</f>
        <v>0.63319771048511464</v>
      </c>
      <c r="C134" s="2">
        <f>0.213856903033395*(8350/2783.333)</f>
        <v>0.64157078593500994</v>
      </c>
      <c r="D134" s="2">
        <f>0.17604563829963*(8350/2783.333)</f>
        <v>0.52813697814882687</v>
      </c>
      <c r="E134" s="2">
        <f>0.208478943797656*(8350/2783.333)</f>
        <v>0.62543690629559034</v>
      </c>
      <c r="F134" s="2">
        <f>0.173025426623785*(8350/2783.333)</f>
        <v>0.51907634203618758</v>
      </c>
      <c r="G134" s="2">
        <f>0.20799865025283*(8350/2783.333)</f>
        <v>0.62399602548855293</v>
      </c>
      <c r="H134" s="2">
        <f>0.213441496436745*(8350/2783.333)</f>
        <v>0.64032456599581267</v>
      </c>
      <c r="I134" s="2">
        <f>0.23905140483055*(8350/2783.333)</f>
        <v>0.71715430037839345</v>
      </c>
      <c r="J134" s="2">
        <f>0.217465583192188*(8350/2783.333)</f>
        <v>0.65239682770792151</v>
      </c>
      <c r="K134" s="2">
        <f>0.28965036879455*(8350/2783.333)</f>
        <v>0.8689512104496645</v>
      </c>
      <c r="L134" s="2">
        <f>0.290405567170867*(8350/2783.333)</f>
        <v>0.87121680584994177</v>
      </c>
      <c r="M134" s="2">
        <f>0.619417030105714*(8350/2783.333)</f>
        <v>1.8582513128622109</v>
      </c>
      <c r="N134" s="2">
        <f>0.328986846026423*(8350/2783.333)</f>
        <v>0.98696065627814877</v>
      </c>
      <c r="O134" s="2">
        <f>0.281688889641941*(8350/2783.333)</f>
        <v>0.84506677013142506</v>
      </c>
      <c r="P134" s="2">
        <f>0.163374754468318*(8350/2783.333)</f>
        <v>0.49012432210247853</v>
      </c>
      <c r="Q134" s="2">
        <f>0.0966903496329187*(8350/2783.333)</f>
        <v>0.29007108363780809</v>
      </c>
      <c r="R134" s="2">
        <f>0.778978389162117*(8350/2783.333)</f>
        <v>2.3369354473588588</v>
      </c>
      <c r="S134" s="2">
        <f>0.0539285754635387*(8350/2783.333)</f>
        <v>0.16178574576615465</v>
      </c>
      <c r="T134" s="2">
        <f t="shared" si="32"/>
        <v>0.10069243236843764</v>
      </c>
      <c r="U134" s="2">
        <f t="shared" si="33"/>
        <v>0.11437794326585224</v>
      </c>
      <c r="V134" s="2">
        <f t="shared" si="34"/>
        <v>0.11043877033537902</v>
      </c>
      <c r="W134" s="2">
        <f t="shared" si="35"/>
        <v>0.10705744606724045</v>
      </c>
      <c r="X134" s="2">
        <f t="shared" si="36"/>
        <v>0.11728533803050227</v>
      </c>
      <c r="Y134" s="2">
        <f t="shared" si="37"/>
        <v>0.10928020503416074</v>
      </c>
      <c r="Z134" s="2">
        <f t="shared" si="38"/>
        <v>0.10579568013572224</v>
      </c>
      <c r="AA134" s="2">
        <f t="shared" si="39"/>
        <v>0.11798772791544039</v>
      </c>
      <c r="AB134" s="2">
        <f t="shared" si="40"/>
        <v>0.10026757173055721</v>
      </c>
      <c r="AC134" s="2">
        <f t="shared" si="41"/>
        <v>0.1151901624778385</v>
      </c>
      <c r="AD134" s="2">
        <f t="shared" si="42"/>
        <v>0.10227444344259566</v>
      </c>
      <c r="AE134" s="2">
        <f t="shared" si="43"/>
        <v>0.10987695088187602</v>
      </c>
      <c r="AF134" s="2">
        <f t="shared" si="44"/>
        <v>0.11908712371493149</v>
      </c>
      <c r="AG134" s="2">
        <f t="shared" si="45"/>
        <v>9.9235315312320327E-2</v>
      </c>
      <c r="AH134" s="2">
        <f t="shared" si="46"/>
        <v>0.1199891551819615</v>
      </c>
      <c r="AI134" s="2">
        <f t="shared" si="47"/>
        <v>0.10099811712417744</v>
      </c>
      <c r="AJ134" s="2">
        <f>0.00909609402933471*(8350/2783.333)</f>
        <v>2.7288285356062252E-2</v>
      </c>
      <c r="AK134" s="2">
        <f>0.0755434486304078*(8350/2783.333)</f>
        <v>0.22663037303258554</v>
      </c>
      <c r="AL134" s="2">
        <f>0.0379409598595687*(8350/2783.333)</f>
        <v>0.1138228932101903</v>
      </c>
      <c r="AM134" s="2">
        <f>0.104765894455662*(8350/2783.333)</f>
        <v>0.31429772100743281</v>
      </c>
      <c r="AN134" s="2">
        <f>0.0149066393900184*(8350/2783.333)</f>
        <v>4.4719923525734666E-2</v>
      </c>
      <c r="AO134" s="2">
        <f>0.0644715744848465*(8350/2783.333)</f>
        <v>0.19341474661798216</v>
      </c>
      <c r="AP134" s="2">
        <f>0.072797867622415*(8350/2783.333)</f>
        <v>0.21839362902217049</v>
      </c>
      <c r="AQ134" s="2">
        <f>0.0891015445283076*(8350/2783.333)</f>
        <v>0.26730466559745758</v>
      </c>
      <c r="AR134" s="2">
        <f>0.118258217125977*(8350/2783.333)</f>
        <v>0.3547746938659177</v>
      </c>
      <c r="AS134" s="2">
        <f>0.118014941797592*(8350/2783.333)</f>
        <v>0.35404486779335864</v>
      </c>
      <c r="AT134" s="2">
        <f>0.115420997297419*(8350/2783.333)</f>
        <v>0.34626303336088315</v>
      </c>
      <c r="AU134" s="2">
        <f>0.110962536143804*(8350/2783.333)</f>
        <v>0.33288764829819562</v>
      </c>
      <c r="AV134" s="2">
        <f>0.103780004296373*(8350/2783.333)</f>
        <v>0.31134005017535288</v>
      </c>
      <c r="AW134" s="2">
        <f>0.103052459294683*(8350/2783.333)</f>
        <v>0.30915741490888854</v>
      </c>
    </row>
    <row r="135" spans="1:49" x14ac:dyDescent="0.25">
      <c r="A135" s="5">
        <v>45757</v>
      </c>
      <c r="B135" s="2">
        <f>0.282510744074555*(8350/2783.333)</f>
        <v>0.84753233372454417</v>
      </c>
      <c r="C135" s="2">
        <f>0.32775372554781*(8350/2783.333)</f>
        <v>0.98326129439927368</v>
      </c>
      <c r="D135" s="2">
        <f>0.267980582744992*(8350/2783.333)</f>
        <v>0.80394184451543638</v>
      </c>
      <c r="E135" s="2">
        <f>0.314571561863573*(8350/2783.333)</f>
        <v>0.94371479861045648</v>
      </c>
      <c r="F135" s="2">
        <f>0.26012400481138*(8350/2783.333)</f>
        <v>0.78037210789187628</v>
      </c>
      <c r="G135" s="2">
        <f>0.329291712814845*(8350/2783.333)</f>
        <v>0.98787525675294841</v>
      </c>
      <c r="H135" s="2">
        <f>0.329950948630405*(8350/2783.333)</f>
        <v>0.98985296443648041</v>
      </c>
      <c r="I135" s="2">
        <f>0.359276087961704*(8350/2783.333)</f>
        <v>1.0778283929663572</v>
      </c>
      <c r="J135" s="2">
        <f>0.316097514366787*(8350/2783.333)</f>
        <v>0.94829265666834439</v>
      </c>
      <c r="K135" s="2">
        <f>0.415881361343351*(8350/2783.333)</f>
        <v>1.2476442334485234</v>
      </c>
      <c r="L135" s="2">
        <f>0.375280546687853*(8350/2783.333)</f>
        <v>1.1258417748949108</v>
      </c>
      <c r="M135" s="2">
        <f>0.400902914222048*(8350/2783.333)</f>
        <v>1.2027088867031375</v>
      </c>
      <c r="N135" s="2">
        <f>0.600844239748856*(8350/2783.333)</f>
        <v>1.8025329351187753</v>
      </c>
      <c r="O135" s="2">
        <f>0.30272166006854*(8350/2783.333)</f>
        <v>0.90816508896790493</v>
      </c>
      <c r="P135" s="2">
        <f>0.393565041766687*(8350/2783.333)</f>
        <v>1.1806952667006931</v>
      </c>
      <c r="Q135" s="2">
        <f>0.195739000476396*(8350/2783.333)</f>
        <v>0.58721707175458693</v>
      </c>
      <c r="R135" s="2">
        <f>0.215493782763911*(8350/2783.333)</f>
        <v>0.64648142571465828</v>
      </c>
      <c r="S135" s="2">
        <f>0.0867479656742066*(8350/2783.333)</f>
        <v>0.26024392818955733</v>
      </c>
      <c r="T135" s="2">
        <f t="shared" si="32"/>
        <v>0.10069243236843764</v>
      </c>
      <c r="U135" s="2">
        <f t="shared" si="33"/>
        <v>0.11437794326585224</v>
      </c>
      <c r="V135" s="2">
        <f t="shared" si="34"/>
        <v>0.11043877033537902</v>
      </c>
      <c r="W135" s="2">
        <f t="shared" si="35"/>
        <v>0.10705744606724045</v>
      </c>
      <c r="X135" s="2">
        <f t="shared" si="36"/>
        <v>0.11728533803050227</v>
      </c>
      <c r="Y135" s="2">
        <f t="shared" si="37"/>
        <v>0.10928020503416074</v>
      </c>
      <c r="Z135" s="2">
        <f t="shared" si="38"/>
        <v>0.10579568013572224</v>
      </c>
      <c r="AA135" s="2">
        <f t="shared" si="39"/>
        <v>0.11798772791544039</v>
      </c>
      <c r="AB135" s="2">
        <f t="shared" si="40"/>
        <v>0.10026757173055721</v>
      </c>
      <c r="AC135" s="2">
        <f t="shared" si="41"/>
        <v>0.1151901624778385</v>
      </c>
      <c r="AD135" s="2">
        <f t="shared" si="42"/>
        <v>0.10227444344259566</v>
      </c>
      <c r="AE135" s="2">
        <f t="shared" si="43"/>
        <v>0.10987695088187602</v>
      </c>
      <c r="AF135" s="2">
        <f t="shared" si="44"/>
        <v>0.11908712371493149</v>
      </c>
      <c r="AG135" s="2">
        <f t="shared" si="45"/>
        <v>9.9235315312320327E-2</v>
      </c>
      <c r="AH135" s="2">
        <f t="shared" si="46"/>
        <v>0.1199891551819615</v>
      </c>
      <c r="AI135" s="2">
        <f t="shared" si="47"/>
        <v>0.10099811712417744</v>
      </c>
      <c r="AJ135" s="2">
        <f>0.0110669144023572*(8350/2783.333)</f>
        <v>3.3200747183209048E-2</v>
      </c>
      <c r="AK135" s="2">
        <f>0.00779416533488335*(8350/2783.333)</f>
        <v>2.3382498804949296E-2</v>
      </c>
      <c r="AL135" s="2">
        <f>0*(8350/2783.333)</f>
        <v>0</v>
      </c>
      <c r="AM135" s="2">
        <f>0.00363540958678955*(8350/2783.333)</f>
        <v>1.0906230066503979E-2</v>
      </c>
      <c r="AN135" s="2">
        <f>0.043477698220887*(8350/2783.333)</f>
        <v>0.13043311028339277</v>
      </c>
      <c r="AO135" s="2">
        <f>0.0455181255043476*(8350/2783.333)</f>
        <v>0.13655439286686241</v>
      </c>
      <c r="AP135" s="2">
        <f>0.0982854505657319*(8350/2783.333)</f>
        <v>0.29485638700933775</v>
      </c>
      <c r="AQ135" s="2">
        <f>0.0990958242377565*(8350/2783.333)</f>
        <v>0.29728750831656403</v>
      </c>
      <c r="AR135" s="2">
        <f>0.127731941702367*(8350/2783.333)</f>
        <v>0.38319587099882235</v>
      </c>
      <c r="AS135" s="2">
        <f>0.116567892102526*(8350/2783.333)</f>
        <v>0.34970371818826279</v>
      </c>
      <c r="AT135" s="2">
        <f>0.116240748698679*(8350/2783.333)</f>
        <v>0.34872228785918463</v>
      </c>
      <c r="AU135" s="2">
        <f>0.115274981494684*(8350/2783.333)</f>
        <v>0.34582498590021798</v>
      </c>
      <c r="AV135" s="2">
        <f>0.0892198245891208*(8350/2783.333)</f>
        <v>0.26765950582239306</v>
      </c>
      <c r="AW135" s="2">
        <f>0.0833123954478883*(8350/2783.333)</f>
        <v>0.24993721627626581</v>
      </c>
    </row>
    <row r="136" spans="1:49" x14ac:dyDescent="0.25">
      <c r="A136" s="5">
        <v>45758</v>
      </c>
      <c r="B136" s="2">
        <f>0.256827949158687*(8350/2783.333)</f>
        <v>0.77048393974958573</v>
      </c>
      <c r="C136" s="2">
        <f>0.241249809714077*(8350/2783.333)</f>
        <v>0.7237495158188203</v>
      </c>
      <c r="D136" s="2">
        <f>0.215949316314213*(8350/2783.333)</f>
        <v>0.64784802652922835</v>
      </c>
      <c r="E136" s="2">
        <f>0.229326838177421*(8350/2783.333)</f>
        <v>0.68798059692514946</v>
      </c>
      <c r="F136" s="2">
        <f>0.198412904570842*(8350/2783.333)</f>
        <v>0.59523878499860861</v>
      </c>
      <c r="G136" s="2">
        <f>0.261064365123711*(8350/2783.333)</f>
        <v>0.78319318916672531</v>
      </c>
      <c r="H136" s="2">
        <f>0.262146267435734*(8350/2783.333)</f>
        <v>0.78643889649150212</v>
      </c>
      <c r="I136" s="2">
        <f>0.27446642776841*(8350/2783.333)</f>
        <v>0.82339938191593331</v>
      </c>
      <c r="J136" s="2">
        <f>0.254304015317641*(8350/2783.333)</f>
        <v>0.76291213731964513</v>
      </c>
      <c r="K136" s="2">
        <f>0.334695453272546*(8350/2783.333)</f>
        <v>1.0040864800675144</v>
      </c>
      <c r="L136" s="2">
        <f>0.31578485026173*(8350/2783.333)</f>
        <v>0.94735466424083981</v>
      </c>
      <c r="M136" s="2">
        <f>0.338344437497289*(8350/2783.333)</f>
        <v>1.0150334340527585</v>
      </c>
      <c r="N136" s="2">
        <f>0.266341446603427*(8350/2783.333)</f>
        <v>0.79902443550183067</v>
      </c>
      <c r="O136" s="2">
        <f>0.276430697035292*(8350/2783.333)</f>
        <v>0.82929219042230518</v>
      </c>
      <c r="P136" s="2">
        <f>0.462966982319192*(8350/2783.333)</f>
        <v>1.3889011132930389</v>
      </c>
      <c r="Q136" s="2">
        <f>0.353273521341737*(8350/2783.333)</f>
        <v>1.0598206909498451</v>
      </c>
      <c r="R136" s="2">
        <f>0.26424971634262*(8350/2783.333)</f>
        <v>0.79274924396788804</v>
      </c>
      <c r="S136" s="2">
        <f>0.0639438823353388*(8350/2783.333)</f>
        <v>0.19183166997986906</v>
      </c>
      <c r="T136" s="2">
        <f t="shared" si="32"/>
        <v>0.10069243236843764</v>
      </c>
      <c r="U136" s="2">
        <f t="shared" si="33"/>
        <v>0.11437794326585224</v>
      </c>
      <c r="V136" s="2">
        <f t="shared" si="34"/>
        <v>0.11043877033537902</v>
      </c>
      <c r="W136" s="2">
        <f t="shared" si="35"/>
        <v>0.10705744606724045</v>
      </c>
      <c r="X136" s="2">
        <f t="shared" si="36"/>
        <v>0.11728533803050227</v>
      </c>
      <c r="Y136" s="2">
        <f t="shared" si="37"/>
        <v>0.10928020503416074</v>
      </c>
      <c r="Z136" s="2">
        <f t="shared" si="38"/>
        <v>0.10579568013572224</v>
      </c>
      <c r="AA136" s="2">
        <f t="shared" si="39"/>
        <v>0.11798772791544039</v>
      </c>
      <c r="AB136" s="2">
        <f t="shared" si="40"/>
        <v>0.10026757173055721</v>
      </c>
      <c r="AC136" s="2">
        <f t="shared" si="41"/>
        <v>0.1151901624778385</v>
      </c>
      <c r="AD136" s="2">
        <f t="shared" si="42"/>
        <v>0.10227444344259566</v>
      </c>
      <c r="AE136" s="2">
        <f t="shared" si="43"/>
        <v>0.10987695088187602</v>
      </c>
      <c r="AF136" s="2">
        <f t="shared" si="44"/>
        <v>0.11908712371493149</v>
      </c>
      <c r="AG136" s="2">
        <f t="shared" si="45"/>
        <v>9.9235315312320327E-2</v>
      </c>
      <c r="AH136" s="2">
        <f t="shared" si="46"/>
        <v>0.1199891551819615</v>
      </c>
      <c r="AI136" s="2">
        <f t="shared" si="47"/>
        <v>0.10099811712417744</v>
      </c>
      <c r="AJ136" s="2">
        <f>0*(8350/2783.333)</f>
        <v>0</v>
      </c>
      <c r="AK136" s="2">
        <f>0*(8350/2783.333)</f>
        <v>0</v>
      </c>
      <c r="AL136" s="2">
        <f>0.000862294542262925*(8350/2783.333)</f>
        <v>2.5868839365952357E-3</v>
      </c>
      <c r="AM136" s="2">
        <f>0*(8350/2783.333)</f>
        <v>0</v>
      </c>
      <c r="AN136" s="2">
        <f>0.0226705140723196*(8350/2783.333)</f>
        <v>6.8011550362054765E-2</v>
      </c>
      <c r="AO136" s="2">
        <f>0.0370114594264859*(8350/2783.333)</f>
        <v>0.11103439157698974</v>
      </c>
      <c r="AP136" s="2">
        <f>0.0689664009054457*(8350/2783.333)</f>
        <v>0.20689922749468784</v>
      </c>
      <c r="AQ136" s="2">
        <f>0.0907954902417735*(8350/2783.333)</f>
        <v>0.27238650334645864</v>
      </c>
      <c r="AR136" s="2">
        <f>0.0904904037124187*(8350/2783.333)</f>
        <v>0.27147124364878222</v>
      </c>
      <c r="AS136" s="2">
        <f>0.104830711242548*(8350/2783.333)</f>
        <v>0.31449217139137592</v>
      </c>
      <c r="AT136" s="2">
        <f>0.115257047017167*(8350/2783.333)</f>
        <v>0.34577118246122257</v>
      </c>
      <c r="AU136" s="2">
        <f>0.11544084477741*(8350/2783.333)</f>
        <v>0.3463225758079882</v>
      </c>
      <c r="AV136" s="2">
        <f>0.0862768095419102*(8350/2783.333)</f>
        <v>0.25883045962339052</v>
      </c>
      <c r="AW136" s="2">
        <f>0.08517759833105*(8350/2783.333)</f>
        <v>0.25553282559588364</v>
      </c>
    </row>
    <row r="137" spans="1:49" x14ac:dyDescent="0.25">
      <c r="A137" s="5">
        <v>45759</v>
      </c>
      <c r="B137" s="2">
        <f>0.255894029343564*(8350/2783.333)</f>
        <v>0.76768217996867794</v>
      </c>
      <c r="C137" s="2">
        <f>0.347457395265494*(8350/2783.333)</f>
        <v>1.0423723106314879</v>
      </c>
      <c r="D137" s="2">
        <f>0.240986918205716*(8350/2783.333)</f>
        <v>0.7229608411992835</v>
      </c>
      <c r="E137" s="2">
        <f>0.253881024891367*(8350/2783.333)</f>
        <v>0.76164316588885239</v>
      </c>
      <c r="F137" s="2">
        <f>0.214035967922877*(8350/2783.333)</f>
        <v>0.64210798066779029</v>
      </c>
      <c r="G137" s="2">
        <f>0.24590273230346*(8350/2783.333)</f>
        <v>0.73770828525867671</v>
      </c>
      <c r="H137" s="2">
        <f>0.262146267435734*(8350/2783.333)</f>
        <v>0.78643889649150212</v>
      </c>
      <c r="I137" s="2">
        <f>0.267942607753541*(8350/2783.333)</f>
        <v>0.80382791952743871</v>
      </c>
      <c r="J137" s="2">
        <f>0.257869024878168*(8350/2783.333)</f>
        <v>0.77360716728207002</v>
      </c>
      <c r="K137" s="2">
        <f>0.318982051710454*(8350/2783.333)</f>
        <v>0.95694626973570585</v>
      </c>
      <c r="L137" s="2">
        <f>0.325770141969611*(8350/2783.333)</f>
        <v>0.97731054295201236</v>
      </c>
      <c r="M137" s="2">
        <f>0.306624646481918*(8350/2783.333)</f>
        <v>0.91987404961031172</v>
      </c>
      <c r="N137" s="2">
        <f>0.342382717601151*(8350/2783.333)</f>
        <v>1.0271482758152231</v>
      </c>
      <c r="O137" s="2">
        <f>0.203942756100766*(8350/2783.333)</f>
        <v>0.61182834157515176</v>
      </c>
      <c r="P137" s="2">
        <f>0.619444649527634*(8350/2783.333)</f>
        <v>1.8583341711378929</v>
      </c>
      <c r="Q137" s="2">
        <f>0.360820085215526*(8350/2783.333)</f>
        <v>1.0824603852825516</v>
      </c>
      <c r="R137" s="2">
        <f>0.134357954365754*(8350/2783.333)</f>
        <v>0.40307391136958792</v>
      </c>
      <c r="S137" s="2">
        <f>0*(8350/2783.333)</f>
        <v>0</v>
      </c>
      <c r="T137" s="2">
        <f t="shared" si="32"/>
        <v>0.10069243236843764</v>
      </c>
      <c r="U137" s="2">
        <f t="shared" si="33"/>
        <v>0.11437794326585224</v>
      </c>
      <c r="V137" s="2">
        <f t="shared" si="34"/>
        <v>0.11043877033537902</v>
      </c>
      <c r="W137" s="2">
        <f t="shared" si="35"/>
        <v>0.10705744606724045</v>
      </c>
      <c r="X137" s="2">
        <f t="shared" si="36"/>
        <v>0.11728533803050227</v>
      </c>
      <c r="Y137" s="2">
        <f t="shared" si="37"/>
        <v>0.10928020503416074</v>
      </c>
      <c r="Z137" s="2">
        <f t="shared" si="38"/>
        <v>0.10579568013572224</v>
      </c>
      <c r="AA137" s="2">
        <f t="shared" si="39"/>
        <v>0.11798772791544039</v>
      </c>
      <c r="AB137" s="2">
        <f t="shared" si="40"/>
        <v>0.10026757173055721</v>
      </c>
      <c r="AC137" s="2">
        <f t="shared" si="41"/>
        <v>0.1151901624778385</v>
      </c>
      <c r="AD137" s="2">
        <f t="shared" si="42"/>
        <v>0.10227444344259566</v>
      </c>
      <c r="AE137" s="2">
        <f t="shared" si="43"/>
        <v>0.10987695088187602</v>
      </c>
      <c r="AF137" s="2">
        <f t="shared" si="44"/>
        <v>0.11908712371493149</v>
      </c>
      <c r="AG137" s="2">
        <f t="shared" si="45"/>
        <v>9.9235315312320327E-2</v>
      </c>
      <c r="AH137" s="2">
        <f t="shared" si="46"/>
        <v>0.1199891551819615</v>
      </c>
      <c r="AI137" s="2">
        <f t="shared" si="47"/>
        <v>0.10099811712417744</v>
      </c>
      <c r="AJ137" s="2">
        <f>0*(8350/2783.333)</f>
        <v>0</v>
      </c>
      <c r="AK137" s="2">
        <f>0.000899326769409617*(8350/2783.333)</f>
        <v>2.6979806313403038E-3</v>
      </c>
      <c r="AL137" s="2">
        <f>0*(8350/2783.333)</f>
        <v>0</v>
      </c>
      <c r="AM137" s="2">
        <f>0*(8350/2783.333)</f>
        <v>0</v>
      </c>
      <c r="AN137" s="2">
        <f>0.0636637723948703*(8350/2783.333)</f>
        <v>0.19099134005782514</v>
      </c>
      <c r="AO137" s="2">
        <f>0.0565618674299926*(8350/2783.333)</f>
        <v>0.16968562261160933</v>
      </c>
      <c r="AP137" s="2">
        <f>0.0957866679242302*(8350/2783.333)</f>
        <v>0.2873600381870664</v>
      </c>
      <c r="AQ137" s="2">
        <f>0.11434133565895*(8350/2783.333)</f>
        <v>0.34302404805757403</v>
      </c>
      <c r="AR137" s="2">
        <f>0.0996374481310025*(8350/2783.333)</f>
        <v>0.29891238019089744</v>
      </c>
      <c r="AS137" s="2">
        <f>0.108046377231583*(8350/2783.333)</f>
        <v>0.32413917051381069</v>
      </c>
      <c r="AT137" s="2">
        <f>0.108043234686078*(8350/2783.333)</f>
        <v>0.32412974287616758</v>
      </c>
      <c r="AU137" s="2">
        <f>0.108142860337459*(8350/2783.333)</f>
        <v>0.32442861986610394</v>
      </c>
      <c r="AV137" s="2">
        <f>0.103780004296373*(8350/2783.333)</f>
        <v>0.31134005017535288</v>
      </c>
      <c r="AW137" s="2">
        <f>0.0990111863811658*(8350/2783.333)</f>
        <v>0.29703359471638308</v>
      </c>
    </row>
    <row r="138" spans="1:49" x14ac:dyDescent="0.25">
      <c r="A138" s="5">
        <v>45760</v>
      </c>
      <c r="B138" s="2">
        <f>0.30679265926774*(8350/2783.333)</f>
        <v>0.92037808802814192</v>
      </c>
      <c r="C138" s="2">
        <f>0.322947952445936*(8350/2783.333)</f>
        <v>0.96884397336702599</v>
      </c>
      <c r="D138" s="2">
        <f>0.230032967378183*(8350/2783.333)</f>
        <v>0.69009898478113396</v>
      </c>
      <c r="E138" s="2">
        <f>0.258977176850866*(8350/2783.333)</f>
        <v>0.77693162359829993</v>
      </c>
      <c r="F138" s="2">
        <f>0.21989461667989*(8350/2783.333)</f>
        <v>0.6596839290437333</v>
      </c>
      <c r="G138" s="2">
        <f>0.260590564098079*(8350/2783.333)</f>
        <v>0.78177178591959962</v>
      </c>
      <c r="H138" s="2">
        <f>0.265011253965087*(8350/2783.333)</f>
        <v>0.79503385710889563</v>
      </c>
      <c r="I138" s="2">
        <f>0.244177263413661*(8350/2783.333)</f>
        <v>0.73253187796935282</v>
      </c>
      <c r="J138" s="2">
        <f>0.218653919712364*(8350/2783.333)</f>
        <v>0.65596183769539618</v>
      </c>
      <c r="K138" s="2">
        <f>0.277603427596947*(8350/2783.333)</f>
        <v>0.83281038252861173</v>
      </c>
      <c r="L138" s="2">
        <f>0.257537315299093*(8350/2783.333)</f>
        <v>0.77261203842566539</v>
      </c>
      <c r="M138" s="2">
        <f>0.289002540362268*(8350/2783.333)</f>
        <v>0.8670077249200645</v>
      </c>
      <c r="N138" s="2">
        <f>0.241125688345115*(8350/2783.333)</f>
        <v>0.72337715166733829</v>
      </c>
      <c r="O138" s="2">
        <f>0.157370193013298*(8350/2783.333)</f>
        <v>0.47211063558008926</v>
      </c>
      <c r="P138" s="2">
        <f>0.155615531300958*(8350/2783.333)</f>
        <v>0.46684664981265095</v>
      </c>
      <c r="Q138" s="2">
        <f>0.251866569287701*(8350/2783.333)</f>
        <v>0.7555997983540953</v>
      </c>
      <c r="R138" s="2">
        <f>0.24712931218521*(8350/2783.333)</f>
        <v>0.74138802534461623</v>
      </c>
      <c r="S138" s="2">
        <f>0.0944520478832836*(8350/2783.333)</f>
        <v>0.28335617758472226</v>
      </c>
      <c r="T138" s="2">
        <f t="shared" si="32"/>
        <v>0.10069243236843764</v>
      </c>
      <c r="U138" s="2">
        <f t="shared" si="33"/>
        <v>0.11437794326585224</v>
      </c>
      <c r="V138" s="2">
        <f t="shared" si="34"/>
        <v>0.11043877033537902</v>
      </c>
      <c r="W138" s="2">
        <f t="shared" si="35"/>
        <v>0.10705744606724045</v>
      </c>
      <c r="X138" s="2">
        <f t="shared" si="36"/>
        <v>0.11728533803050227</v>
      </c>
      <c r="Y138" s="2">
        <f t="shared" si="37"/>
        <v>0.10928020503416074</v>
      </c>
      <c r="Z138" s="2">
        <f t="shared" si="38"/>
        <v>0.10579568013572224</v>
      </c>
      <c r="AA138" s="2">
        <f t="shared" si="39"/>
        <v>0.11798772791544039</v>
      </c>
      <c r="AB138" s="2">
        <f t="shared" si="40"/>
        <v>0.10026757173055721</v>
      </c>
      <c r="AC138" s="2">
        <f t="shared" si="41"/>
        <v>0.1151901624778385</v>
      </c>
      <c r="AD138" s="2">
        <f t="shared" si="42"/>
        <v>0.10227444344259566</v>
      </c>
      <c r="AE138" s="2">
        <f t="shared" si="43"/>
        <v>0.10987695088187602</v>
      </c>
      <c r="AF138" s="2">
        <f t="shared" si="44"/>
        <v>0.11908712371493149</v>
      </c>
      <c r="AG138" s="2">
        <f t="shared" si="45"/>
        <v>9.9235315312320327E-2</v>
      </c>
      <c r="AH138" s="2">
        <f t="shared" si="46"/>
        <v>0.1199891551819615</v>
      </c>
      <c r="AI138" s="2">
        <f t="shared" si="47"/>
        <v>0.10099811712417744</v>
      </c>
      <c r="AJ138" s="2">
        <f>0.00697367208915661*(8350/2783.333)</f>
        <v>2.0921018772981064E-2</v>
      </c>
      <c r="AK138" s="2">
        <f>0.029078232210911*(8350/2783.333)</f>
        <v>8.7234707080003165E-2</v>
      </c>
      <c r="AL138" s="2">
        <f>0*(8350/2783.333)</f>
        <v>0</v>
      </c>
      <c r="AM138" s="2">
        <f>0*(8350/2783.333)</f>
        <v>0</v>
      </c>
      <c r="AN138" s="2">
        <f>0.00590054475854895*(8350/2783.333)</f>
        <v>1.7701636395603303E-2</v>
      </c>
      <c r="AO138" s="2">
        <f>0.0250722789663292*(8350/2783.333)</f>
        <v>7.5216845906993068E-2</v>
      </c>
      <c r="AP138" s="2">
        <f>0.0741305516978825*(8350/2783.333)</f>
        <v>0.22239168172738186</v>
      </c>
      <c r="AQ138" s="2">
        <f>0.0911342793844667*(8350/2783.333)</f>
        <v>0.27340287089625892</v>
      </c>
      <c r="AR138" s="2">
        <f>0.11891157744159*(8350/2783.333)</f>
        <v>0.35673477504749723</v>
      </c>
      <c r="AS138" s="2">
        <f>0.113352226113491*(8350/2783.333)</f>
        <v>0.34005671906582824</v>
      </c>
      <c r="AT138" s="2">
        <f>0.112961743093639*(8350/2783.333)</f>
        <v>0.33888526986597778</v>
      </c>
      <c r="AU138" s="2">
        <f>0.107976997054733*(8350/2783.333)</f>
        <v>0.32393102995833373</v>
      </c>
      <c r="AV138" s="2">
        <f>0.100527198191561*(8350/2783.333)</f>
        <v>0.30158163069224475</v>
      </c>
      <c r="AW138" s="2">
        <f>0.102430725000295*(8350/2783.333)</f>
        <v>0.307292211802349</v>
      </c>
    </row>
    <row r="139" spans="1:49" x14ac:dyDescent="0.25">
      <c r="A139" s="5">
        <v>45761</v>
      </c>
      <c r="B139" s="2">
        <f>0.295118661578709*(8350/2783.333)</f>
        <v>0.88535609076679644</v>
      </c>
      <c r="C139" s="2">
        <f>0.312855828932*(8350/2783.333)</f>
        <v>0.93856759919930677</v>
      </c>
      <c r="D139" s="2">
        <f>0.233553880144176*(8350/2783.333)</f>
        <v>0.70066172434411078</v>
      </c>
      <c r="E139" s="2">
        <f>0.227010405468558*(8350/2783.333)</f>
        <v>0.68103129796630901</v>
      </c>
      <c r="F139" s="2">
        <f>0.21091135525247*(8350/2783.333)</f>
        <v>0.63273414153395413</v>
      </c>
      <c r="G139" s="2">
        <f>0.265328574354407*(8350/2783.333)</f>
        <v>0.79598581839086502</v>
      </c>
      <c r="H139" s="2">
        <f>0.26119127192595*(8350/2783.333)</f>
        <v>0.78357390961903772</v>
      </c>
      <c r="I139" s="2">
        <f>0.235789494823116*(8350/2783.333)</f>
        <v>0.70736856918414637</v>
      </c>
      <c r="J139" s="2">
        <f>0.219446144059148*(8350/2783.333)</f>
        <v>0.65833851102037977</v>
      </c>
      <c r="K139" s="2">
        <f>0.261366245982786*(8350/2783.333)</f>
        <v>0.78409883185240914</v>
      </c>
      <c r="L139" s="2">
        <f>0.28874135188622*(8350/2783.333)</f>
        <v>0.8662241593980804</v>
      </c>
      <c r="M139" s="2">
        <f>0.462139732987834*(8350/2783.333)</f>
        <v>1.3864193650017489</v>
      </c>
      <c r="N139" s="2">
        <f>0.383752320993695*(8350/2783.333)</f>
        <v>1.151257100856188</v>
      </c>
      <c r="O139" s="2">
        <f>0.24225244509207*(8350/2783.333)</f>
        <v>0.72675742231302587</v>
      </c>
      <c r="P139" s="2">
        <f>0.418135915129997*(8350/2783.333)</f>
        <v>1.2544078956184803</v>
      </c>
      <c r="Q139" s="2">
        <f>0.22026533306621*(8350/2783.333)</f>
        <v>0.66079607833588483</v>
      </c>
      <c r="R139" s="2">
        <f>0.0323798948194478*(8350/2783.333)</f>
        <v>9.7139696091839811E-2</v>
      </c>
      <c r="S139" s="2">
        <f>0.0208010219645078*(8350/2783.333)</f>
        <v>6.2403073366945387E-2</v>
      </c>
      <c r="T139" s="2">
        <f t="shared" si="32"/>
        <v>0.10069243236843764</v>
      </c>
      <c r="U139" s="2">
        <f t="shared" si="33"/>
        <v>0.11437794326585224</v>
      </c>
      <c r="V139" s="2">
        <f t="shared" si="34"/>
        <v>0.11043877033537902</v>
      </c>
      <c r="W139" s="2">
        <f t="shared" si="35"/>
        <v>0.10705744606724045</v>
      </c>
      <c r="X139" s="2">
        <f t="shared" si="36"/>
        <v>0.11728533803050227</v>
      </c>
      <c r="Y139" s="2">
        <f t="shared" si="37"/>
        <v>0.10928020503416074</v>
      </c>
      <c r="Z139" s="2">
        <f t="shared" si="38"/>
        <v>0.10579568013572224</v>
      </c>
      <c r="AA139" s="2">
        <f t="shared" si="39"/>
        <v>0.11798772791544039</v>
      </c>
      <c r="AB139" s="2">
        <f t="shared" si="40"/>
        <v>0.10026757173055721</v>
      </c>
      <c r="AC139" s="2">
        <f t="shared" si="41"/>
        <v>0.1151901624778385</v>
      </c>
      <c r="AD139" s="2">
        <f t="shared" si="42"/>
        <v>0.10227444344259566</v>
      </c>
      <c r="AE139" s="2">
        <f t="shared" si="43"/>
        <v>0.10987695088187602</v>
      </c>
      <c r="AF139" s="2">
        <f t="shared" si="44"/>
        <v>0.11908712371493149</v>
      </c>
      <c r="AG139" s="2">
        <f t="shared" si="45"/>
        <v>9.9235315312320327E-2</v>
      </c>
      <c r="AH139" s="2">
        <f t="shared" si="46"/>
        <v>0.1199891551819615</v>
      </c>
      <c r="AI139" s="2">
        <f t="shared" si="47"/>
        <v>0.10099811712417744</v>
      </c>
      <c r="AJ139" s="2">
        <f>0.00409324231320062*(8350/2783.333)</f>
        <v>1.2279728410228013E-2</v>
      </c>
      <c r="AK139" s="2">
        <f>0*(8350/2783.333)</f>
        <v>0</v>
      </c>
      <c r="AL139" s="2">
        <f>0.000574863028175284*(8350/2783.333)</f>
        <v>1.7245892910634905E-3</v>
      </c>
      <c r="AM139" s="2">
        <f>0.0201599986176511*(8350/2783.333)</f>
        <v>6.0480003096067499E-2</v>
      </c>
      <c r="AN139" s="2">
        <f>0.0226705140723196*(8350/2783.333)</f>
        <v>6.8011550362054765E-2</v>
      </c>
      <c r="AO139" s="2">
        <f>0.025818477745089*(8350/2783.333)</f>
        <v>7.7455442511367864E-2</v>
      </c>
      <c r="AP139" s="2">
        <f>0.0643020066413093*(8350/2783.333)</f>
        <v>0.19290604302644804</v>
      </c>
      <c r="AQ139" s="2">
        <f>0.0892709390996542*(8350/2783.333)</f>
        <v>0.26781284937235772</v>
      </c>
      <c r="AR139" s="2">
        <f>0.222469187466271*(8350/2783.333)</f>
        <v>0.66740764232787286</v>
      </c>
      <c r="AS139" s="2">
        <f>0.158693116558887*(8350/2783.333)</f>
        <v>0.47607940669215942</v>
      </c>
      <c r="AT139" s="2">
        <f>0.227726939270049*(8350/2783.333)</f>
        <v>0.68318089962821971</v>
      </c>
      <c r="AU139" s="2">
        <f>0.126553684720063*(8350/2783.333)</f>
        <v>0.3796610996285848</v>
      </c>
      <c r="AV139" s="2">
        <f>0.0890649290603202*(8350/2783.333)</f>
        <v>0.26719481918034027</v>
      </c>
      <c r="AW139" s="2">
        <f>0.0889080040973734*(8350/2783.333)</f>
        <v>0.26672404423511936</v>
      </c>
    </row>
    <row r="140" spans="1:49" x14ac:dyDescent="0.25">
      <c r="A140" s="5">
        <v>45762</v>
      </c>
      <c r="B140" s="2">
        <f>0.284845543612361*(8350/2783.333)</f>
        <v>0.85453673317681289</v>
      </c>
      <c r="C140" s="2">
        <f>0.296996777695816*(8350/2783.333)</f>
        <v>0.89099043979289028</v>
      </c>
      <c r="D140" s="2">
        <f>0.201474452720688*(8350/2783.333)</f>
        <v>0.60442343054810233</v>
      </c>
      <c r="E140" s="2">
        <f>0.209868803422973*(8350/2783.333)</f>
        <v>0.62960648567089417</v>
      </c>
      <c r="F140" s="2">
        <f>0.191773102646227*(8350/2783.333)</f>
        <v>0.57531937683920609</v>
      </c>
      <c r="G140" s="2">
        <f>0.228845895380676*(8350/2783.333)</f>
        <v>0.68653776836212088</v>
      </c>
      <c r="H140" s="2">
        <f>0.214396491946529*(8350/2783.333)</f>
        <v>0.64318955286827739</v>
      </c>
      <c r="I140" s="2">
        <f>0.232993571959601*(8350/2783.333)</f>
        <v>0.69898079958907744</v>
      </c>
      <c r="J140" s="2">
        <f>0.189737731054751*(8350/2783.333)</f>
        <v>0.56921326133350492</v>
      </c>
      <c r="K140" s="2">
        <f>0.222606522129627*(8350/2783.333)</f>
        <v>0.66781964636728264</v>
      </c>
      <c r="L140" s="2">
        <f>0.267938660828135*(8350/2783.333)</f>
        <v>0.80381607874980299</v>
      </c>
      <c r="M140" s="2">
        <f>0.340547200762245*(8350/2783.333)</f>
        <v>1.0216417246390388</v>
      </c>
      <c r="N140" s="2">
        <f>0.454277644872414*(8350/2783.333)</f>
        <v>1.3628330978307857</v>
      </c>
      <c r="O140" s="2">
        <f>0.28244006001432*(8350/2783.333)</f>
        <v>0.8473202815184423</v>
      </c>
      <c r="P140" s="2">
        <f>0.336664071872709*(8350/2783.333)</f>
        <v>1.0099923365752919</v>
      </c>
      <c r="Q140" s="2">
        <f>0.192909039023726*(8350/2783.333)</f>
        <v>0.57872718637982212</v>
      </c>
      <c r="R140" s="2">
        <f>0.123936838791679*(8350/2783.333)</f>
        <v>0.37181056090324849</v>
      </c>
      <c r="S140" s="2">
        <f>0.0676418417956957*(8350/2783.333)</f>
        <v>0.20292554968954826</v>
      </c>
      <c r="T140" s="2">
        <f t="shared" si="32"/>
        <v>0.10069243236843764</v>
      </c>
      <c r="U140" s="2">
        <f t="shared" si="33"/>
        <v>0.11437794326585224</v>
      </c>
      <c r="V140" s="2">
        <f t="shared" si="34"/>
        <v>0.11043877033537902</v>
      </c>
      <c r="W140" s="2">
        <f t="shared" si="35"/>
        <v>0.10705744606724045</v>
      </c>
      <c r="X140" s="2">
        <f t="shared" si="36"/>
        <v>0.11728533803050227</v>
      </c>
      <c r="Y140" s="2">
        <f t="shared" si="37"/>
        <v>0.10928020503416074</v>
      </c>
      <c r="Z140" s="2">
        <f t="shared" si="38"/>
        <v>0.10579568013572224</v>
      </c>
      <c r="AA140" s="2">
        <f t="shared" si="39"/>
        <v>0.11798772791544039</v>
      </c>
      <c r="AB140" s="2">
        <f t="shared" si="40"/>
        <v>0.10026757173055721</v>
      </c>
      <c r="AC140" s="2">
        <f t="shared" si="41"/>
        <v>0.1151901624778385</v>
      </c>
      <c r="AD140" s="2">
        <f t="shared" si="42"/>
        <v>0.10227444344259566</v>
      </c>
      <c r="AE140" s="2">
        <f t="shared" si="43"/>
        <v>0.10987695088187602</v>
      </c>
      <c r="AF140" s="2">
        <f t="shared" si="44"/>
        <v>0.11908712371493149</v>
      </c>
      <c r="AG140" s="2">
        <f t="shared" si="45"/>
        <v>9.9235315312320327E-2</v>
      </c>
      <c r="AH140" s="2">
        <f t="shared" si="46"/>
        <v>0.1199891551819615</v>
      </c>
      <c r="AI140" s="2">
        <f t="shared" si="47"/>
        <v>0.10099811712417744</v>
      </c>
      <c r="AJ140" s="2">
        <f>0.0253174617149816*(8350/2783.333)</f>
        <v>7.5952394241039972E-2</v>
      </c>
      <c r="AK140" s="2">
        <f>0.12440686976833*(8350/2783.333)</f>
        <v>0.37322065400207521</v>
      </c>
      <c r="AL140" s="2">
        <f>0.0942775366207465*(8350/2783.333)</f>
        <v>0.28283264373441247</v>
      </c>
      <c r="AM140" s="2">
        <f>0.168881299895405*(8350/2783.333)</f>
        <v>0.50664396036213921</v>
      </c>
      <c r="AN140" s="2">
        <f>0.103104255780961*(8350/2783.333)</f>
        <v>0.30931280438633141</v>
      </c>
      <c r="AO140" s="2">
        <f>0.080887947617562*(8350/2783.333)</f>
        <v>0.24266387191422764</v>
      </c>
      <c r="AP140" s="2">
        <f>0.147761346867465*(8350/2783.333)</f>
        <v>0.44328409369030919</v>
      </c>
      <c r="AQ140" s="2">
        <f>0.131450187364956*(8350/2783.333)</f>
        <v>0.39435060932248467</v>
      </c>
      <c r="AR140" s="2">
        <f>0.122341719098559*(8350/2783.333)</f>
        <v>0.3670252012507903</v>
      </c>
      <c r="AS140" s="2">
        <f>0.377197620513829*(8350/2783.333)</f>
        <v>1.131592997061607</v>
      </c>
      <c r="AT140" s="2">
        <f>0.10656768216381*(8350/2783.333)</f>
        <v>0.31970308477922427</v>
      </c>
      <c r="AU140" s="2">
        <f>0.119753290128291*(8350/2783.333)</f>
        <v>0.35925991341001084</v>
      </c>
      <c r="AV140" s="2">
        <f>0.0960352278563453*(8350/2783.333)</f>
        <v>0.28810571807271473</v>
      </c>
      <c r="AW140" s="2">
        <f>0.0959025149092297*(8350/2783.333)</f>
        <v>0.28770757918368656</v>
      </c>
    </row>
    <row r="141" spans="1:49" x14ac:dyDescent="0.25">
      <c r="A141" s="5">
        <v>45763</v>
      </c>
      <c r="B141" s="2">
        <f>0.268034986940156*(8350/2783.333)</f>
        <v>0.80410505712047631</v>
      </c>
      <c r="C141" s="2">
        <f>0.270565025635509*(8350/2783.333)</f>
        <v>0.81169517411552949</v>
      </c>
      <c r="D141" s="2">
        <f>0.192867777070483*(8350/2783.333)</f>
        <v>0.57860340050527059</v>
      </c>
      <c r="E141" s="2">
        <f>0.199676499503977*(8350/2783.333)</f>
        <v>0.5990295702519981</v>
      </c>
      <c r="F141" s="2">
        <f>0.171072543704781*(8350/2783.333)</f>
        <v>0.51321769257754035</v>
      </c>
      <c r="G141" s="2">
        <f>0.196627425637641*(8350/2783.333)</f>
        <v>0.58988234755751612</v>
      </c>
      <c r="H141" s="2">
        <f>0.21917146949545*(8350/2783.333)</f>
        <v>0.65751448723059991</v>
      </c>
      <c r="I141" s="2">
        <f>0.209228227619721*(8350/2783.333)</f>
        <v>0.62768475803099122</v>
      </c>
      <c r="J141" s="2">
        <f>0.188153282361183*(8350/2783.333)</f>
        <v>0.56445991468353851</v>
      </c>
      <c r="K141" s="2">
        <f>0.228891882754464*(8350/2783.333)</f>
        <v>0.68667573050000574</v>
      </c>
      <c r="L141" s="2">
        <f>0.253376777087476*(8350/2783.333)</f>
        <v>0.76013042229601002</v>
      </c>
      <c r="M141" s="2">
        <f>0.247150038328098*(8350/2783.333)</f>
        <v>0.7414502037807259</v>
      </c>
      <c r="N141" s="2">
        <f>0.488555316254807*(8350/2783.333)</f>
        <v>1.4656661242932993</v>
      </c>
      <c r="O141" s="2">
        <f>0.447321956751403*(8350/2783.333)</f>
        <v>1.3419660309687031</v>
      </c>
      <c r="P141" s="2">
        <f>0.381064071108162*(8350/2783.333)</f>
        <v>1.1431923502337491</v>
      </c>
      <c r="Q141" s="2">
        <f>0.428739160079625*(8350/2783.333)</f>
        <v>1.2862176342769149</v>
      </c>
      <c r="R141" s="2">
        <f>0.592514856925986*(8350/2783.333)</f>
        <v>1.777544783657574</v>
      </c>
      <c r="S141" s="2">
        <f>0.172263278194961*(8350/2783.333)</f>
        <v>0.51678989647588858</v>
      </c>
      <c r="T141" s="2">
        <f t="shared" si="32"/>
        <v>0.10069243236843764</v>
      </c>
      <c r="U141" s="2">
        <f t="shared" si="33"/>
        <v>0.11437794326585224</v>
      </c>
      <c r="V141" s="2">
        <f t="shared" si="34"/>
        <v>0.11043877033537902</v>
      </c>
      <c r="W141" s="2">
        <f t="shared" si="35"/>
        <v>0.10705744606724045</v>
      </c>
      <c r="X141" s="2">
        <f t="shared" si="36"/>
        <v>0.11728533803050227</v>
      </c>
      <c r="Y141" s="2">
        <f t="shared" si="37"/>
        <v>0.10928020503416074</v>
      </c>
      <c r="Z141" s="2">
        <f t="shared" si="38"/>
        <v>0.10579568013572224</v>
      </c>
      <c r="AA141" s="2">
        <f t="shared" si="39"/>
        <v>0.11798772791544039</v>
      </c>
      <c r="AB141" s="2">
        <f t="shared" si="40"/>
        <v>0.10026757173055721</v>
      </c>
      <c r="AC141" s="2">
        <f t="shared" si="41"/>
        <v>0.1151901624778385</v>
      </c>
      <c r="AD141" s="2">
        <f t="shared" si="42"/>
        <v>0.10227444344259566</v>
      </c>
      <c r="AE141" s="2">
        <f t="shared" si="43"/>
        <v>0.10987695088187602</v>
      </c>
      <c r="AF141" s="2">
        <f t="shared" si="44"/>
        <v>0.11908712371493149</v>
      </c>
      <c r="AG141" s="2">
        <f t="shared" si="45"/>
        <v>9.9235315312320327E-2</v>
      </c>
      <c r="AH141" s="2">
        <f t="shared" si="46"/>
        <v>0.1199891551819615</v>
      </c>
      <c r="AI141" s="2">
        <f t="shared" si="47"/>
        <v>0.10099811712417744</v>
      </c>
      <c r="AJ141" s="2">
        <f>0.0324427353712938*(8350/2783.333)</f>
        <v>9.7328217769955344E-2</v>
      </c>
      <c r="AK141" s="2">
        <f>0.156482857877273*(8350/2783.333)</f>
        <v>0.46944862985321301</v>
      </c>
      <c r="AL141" s="2">
        <f>0.176195518135724*(8350/2783.333)</f>
        <v>0.52858661771095972</v>
      </c>
      <c r="AM141" s="2">
        <f>0.147729825935903*(8350/2783.333)</f>
        <v>0.44318953088429802</v>
      </c>
      <c r="AN141" s="2">
        <f>0.29844334278766*(8350/2783.333)</f>
        <v>0.89533013558814589</v>
      </c>
      <c r="AO141" s="2">
        <f>0.106258706095395*(8350/2783.333)</f>
        <v>0.31877615646297053</v>
      </c>
      <c r="AP141" s="2">
        <f>0.133768164075055*(8350/2783.333)</f>
        <v>0.40130454028558987</v>
      </c>
      <c r="AQ141" s="2">
        <f>0.152793903354626*(8350/2783.333)</f>
        <v>0.45838176495989891</v>
      </c>
      <c r="AR141" s="2">
        <f>0.147332751170761*(8350/2783.333)</f>
        <v>0.44199830644621224</v>
      </c>
      <c r="AS141" s="2">
        <f>0.124607057075114*(8350/2783.333)</f>
        <v>0.3738212159943502</v>
      </c>
      <c r="AT141" s="2">
        <f>0.118372102341955*(8350/2783.333)</f>
        <v>0.35511634955476912</v>
      </c>
      <c r="AU141" s="2">
        <f>0.136339618400907*(8350/2783.333)</f>
        <v>0.4090189041870203</v>
      </c>
      <c r="AV141" s="2">
        <f>0.0946411680971403*(8350/2783.333)</f>
        <v>0.28392353829423983</v>
      </c>
      <c r="AW141" s="2">
        <f>0.0917058084221159*(8350/2783.333)</f>
        <v>0.2751174582145462</v>
      </c>
    </row>
    <row r="142" spans="1:49" x14ac:dyDescent="0.25">
      <c r="A142" s="5">
        <v>45764</v>
      </c>
      <c r="B142" s="2">
        <f>0.28811426296529*(8350/2783.333)</f>
        <v>0.86434289240999007</v>
      </c>
      <c r="C142" s="2">
        <f>0.296035623075441*(8350/2783.333)</f>
        <v>0.88810697558644036</v>
      </c>
      <c r="D142" s="2">
        <f>0.195606264777367*(8350/2783.333)</f>
        <v>0.58681886460980814</v>
      </c>
      <c r="E142" s="2">
        <f>0.214964955382472*(8350/2783.333)</f>
        <v>0.64489494338034214</v>
      </c>
      <c r="F142" s="2">
        <f>0.178884075380799*(8350/2783.333)</f>
        <v>0.53665229041213092</v>
      </c>
      <c r="G142" s="2">
        <f>0.303232656405037*(8350/2783.333)</f>
        <v>0.90969807816098824</v>
      </c>
      <c r="H142" s="2">
        <f>0.467470302039315*(8350/2783.333)</f>
        <v>1.4024110740713667</v>
      </c>
      <c r="I142" s="2">
        <f>0.441755812435403*(8350/2783.333)</f>
        <v>1.3252675960208902</v>
      </c>
      <c r="J142" s="2">
        <f>0.380267686456285*(8350/2783.333)</f>
        <v>1.1408031959919933</v>
      </c>
      <c r="K142" s="2">
        <f>0.406977100458165*(8350/2783.333)</f>
        <v>1.2209314475938315</v>
      </c>
      <c r="L142" s="2">
        <f>0.229661709281259*(8350/2783.333)</f>
        <v>0.68898521035697435</v>
      </c>
      <c r="M142" s="2">
        <f>0.336141674232333*(8350/2783.333)</f>
        <v>1.0084251434664768</v>
      </c>
      <c r="N142" s="2">
        <f>0.509043119839686*(8350/2783.333)</f>
        <v>1.5271295424088247</v>
      </c>
      <c r="O142" s="2">
        <f>0.489763082790789*(8350/2783.333)</f>
        <v>1.4692894243351711</v>
      </c>
      <c r="P142" s="2">
        <f>0.227603879575916*(8350/2783.333)</f>
        <v>0.6828117205016061</v>
      </c>
      <c r="Q142" s="2">
        <f>0.360348424973414*(8350/2783.333)</f>
        <v>1.0810454043867579</v>
      </c>
      <c r="R142" s="2">
        <f>0.291046870675956*(8350/2783.333)</f>
        <v>0.87314071659561721</v>
      </c>
      <c r="S142" s="2">
        <f>0.0147918378414278*(8350/2783.333)</f>
        <v>4.4375518838716675E-2</v>
      </c>
      <c r="T142" s="2">
        <f t="shared" si="32"/>
        <v>0.10069243236843764</v>
      </c>
      <c r="U142" s="2">
        <f t="shared" si="33"/>
        <v>0.11437794326585224</v>
      </c>
      <c r="V142" s="2">
        <f t="shared" si="34"/>
        <v>0.11043877033537902</v>
      </c>
      <c r="W142" s="2">
        <f t="shared" si="35"/>
        <v>0.10705744606724045</v>
      </c>
      <c r="X142" s="2">
        <f t="shared" si="36"/>
        <v>0.11728533803050227</v>
      </c>
      <c r="Y142" s="2">
        <f t="shared" si="37"/>
        <v>0.10928020503416074</v>
      </c>
      <c r="Z142" s="2">
        <f t="shared" si="38"/>
        <v>0.10579568013572224</v>
      </c>
      <c r="AA142" s="2">
        <f t="shared" si="39"/>
        <v>0.11798772791544039</v>
      </c>
      <c r="AB142" s="2">
        <f t="shared" si="40"/>
        <v>0.10026757173055721</v>
      </c>
      <c r="AC142" s="2">
        <f t="shared" si="41"/>
        <v>0.1151901624778385</v>
      </c>
      <c r="AD142" s="2">
        <f t="shared" si="42"/>
        <v>0.10227444344259566</v>
      </c>
      <c r="AE142" s="2">
        <f t="shared" si="43"/>
        <v>0.10987695088187602</v>
      </c>
      <c r="AF142" s="2">
        <f t="shared" si="44"/>
        <v>0.11908712371493149</v>
      </c>
      <c r="AG142" s="2">
        <f t="shared" si="45"/>
        <v>9.9235315312320327E-2</v>
      </c>
      <c r="AH142" s="2">
        <f t="shared" si="46"/>
        <v>0.1199891551819615</v>
      </c>
      <c r="AI142" s="2">
        <f t="shared" si="47"/>
        <v>0.10099811712417744</v>
      </c>
      <c r="AJ142" s="2">
        <f>0.0442676576094289*(8350/2783.333)</f>
        <v>0.1328029887328363</v>
      </c>
      <c r="AK142" s="2">
        <f>0.0797403068876527*(8350/2783.333)</f>
        <v>0.23922094931217361</v>
      </c>
      <c r="AL142" s="2">
        <f>0.0140841441902945*(8350/2783.333)</f>
        <v>4.2252437631055524E-2</v>
      </c>
      <c r="AM142" s="2">
        <f>0.133849171149979*(8350/2783.333)</f>
        <v>0.40154756153946469</v>
      </c>
      <c r="AN142" s="2">
        <f>0.0944087161367832*(8350/2783.333)</f>
        <v>0.28322618232965285</v>
      </c>
      <c r="AO142" s="2">
        <f>0.0583527444990162*(8350/2783.333)</f>
        <v>0.17505825446210888</v>
      </c>
      <c r="AP142" s="2">
        <f>0.195238217055996*(8350/2783.333)</f>
        <v>0.58571472131346392</v>
      </c>
      <c r="AQ142" s="2">
        <f>0.132297160221689*(8350/2783.333)</f>
        <v>0.39689152819698564</v>
      </c>
      <c r="AR142" s="2">
        <f>0.221652487071755*(8350/2783.333)</f>
        <v>0.66495754085089831</v>
      </c>
      <c r="AS142" s="2">
        <f>0.201622257512507*(8350/2783.333)</f>
        <v>0.60486684497666443</v>
      </c>
      <c r="AT142" s="2">
        <f>0.144768097462529*(8350/2783.333)</f>
        <v>0.43430434440008447</v>
      </c>
      <c r="AU142" s="2">
        <f>0.165199829595259*(8350/2783.333)</f>
        <v>0.49559954813901747</v>
      </c>
      <c r="AV142" s="2">
        <f>0.0935568993955364*(8350/2783.333)</f>
        <v>0.28067073179987045</v>
      </c>
      <c r="AW142" s="2">
        <f>0.0861101997726308*(8350/2783.333)</f>
        <v>0.25833063025569258</v>
      </c>
    </row>
    <row r="143" spans="1:49" x14ac:dyDescent="0.25">
      <c r="A143" s="5">
        <v>45765</v>
      </c>
      <c r="B143" s="2">
        <f>0.23581475331843*(8350/2783.333)</f>
        <v>0.70744434467916506</v>
      </c>
      <c r="C143" s="2">
        <f>0.226832490408455*(8350/2783.333)</f>
        <v>0.6804975527220779</v>
      </c>
      <c r="D143" s="2">
        <f>0.188564439245381*(8350/2783.333)</f>
        <v>0.56569338548385506</v>
      </c>
      <c r="E143" s="2">
        <f>0.252491165266049*(8350/2783.333)</f>
        <v>0.75747358651354801</v>
      </c>
      <c r="F143" s="2">
        <f>0.20192809382505*(8350/2783.333)</f>
        <v>0.60578435402417408</v>
      </c>
      <c r="G143" s="2">
        <f>0.247797936405991*(8350/2783.333)</f>
        <v>0.74339389824718294</v>
      </c>
      <c r="H143" s="2">
        <f>0.258326285396598*(8350/2783.333)</f>
        <v>0.77497894900164421</v>
      </c>
      <c r="I143" s="2">
        <f>0.220411919073782*(8350/2783.333)</f>
        <v>0.66123583641126704</v>
      </c>
      <c r="J143" s="2">
        <f>0.210731676244525*(8350/2783.333)</f>
        <v>0.63219510444556293</v>
      </c>
      <c r="K143" s="2">
        <f>0.27184184702418*(8350/2783.333)</f>
        <v>0.81552563874028172</v>
      </c>
      <c r="L143" s="2">
        <f>0.262946014974195*(8350/2783.333)</f>
        <v>0.78883813939421699</v>
      </c>
      <c r="M143" s="2">
        <f>0.496943392574144*(8350/2783.333)</f>
        <v>1.4908303562649887</v>
      </c>
      <c r="N143" s="2">
        <f>0.349474649611302*(8350/2783.333)</f>
        <v>1.0484240743936741</v>
      </c>
      <c r="O143" s="2">
        <f>0.256149096981072*(8350/2783.333)</f>
        <v>0.76844738297284276</v>
      </c>
      <c r="P143" s="2">
        <f>0.427619410112326*(8350/2783.333)</f>
        <v>1.2828583839727139</v>
      </c>
      <c r="Q143" s="2">
        <f>0.279694523572297*(8350/2783.333)</f>
        <v>0.83908367120595229</v>
      </c>
      <c r="R143" s="2">
        <f>0.086346386185194*(8350/2783.333)</f>
        <v>0.2590391895782394</v>
      </c>
      <c r="S143" s="2">
        <f>0.0526959223100864*(8350/2783.333)</f>
        <v>0.15808778586292829</v>
      </c>
      <c r="T143" s="2">
        <f t="shared" si="32"/>
        <v>0.10069243236843764</v>
      </c>
      <c r="U143" s="2">
        <f t="shared" si="33"/>
        <v>0.11437794326585224</v>
      </c>
      <c r="V143" s="2">
        <f t="shared" si="34"/>
        <v>0.11043877033537902</v>
      </c>
      <c r="W143" s="2">
        <f t="shared" si="35"/>
        <v>0.10705744606724045</v>
      </c>
      <c r="X143" s="2">
        <f t="shared" si="36"/>
        <v>0.11728533803050227</v>
      </c>
      <c r="Y143" s="2">
        <f t="shared" si="37"/>
        <v>0.10928020503416074</v>
      </c>
      <c r="Z143" s="2">
        <f t="shared" si="38"/>
        <v>0.10579568013572224</v>
      </c>
      <c r="AA143" s="2">
        <f t="shared" si="39"/>
        <v>0.11798772791544039</v>
      </c>
      <c r="AB143" s="2">
        <f t="shared" si="40"/>
        <v>0.10026757173055721</v>
      </c>
      <c r="AC143" s="2">
        <f t="shared" si="41"/>
        <v>0.1151901624778385</v>
      </c>
      <c r="AD143" s="2">
        <f t="shared" si="42"/>
        <v>0.10227444344259566</v>
      </c>
      <c r="AE143" s="2">
        <f t="shared" si="43"/>
        <v>0.10987695088187602</v>
      </c>
      <c r="AF143" s="2">
        <f t="shared" si="44"/>
        <v>0.11908712371493149</v>
      </c>
      <c r="AG143" s="2">
        <f t="shared" si="45"/>
        <v>9.9235315312320327E-2</v>
      </c>
      <c r="AH143" s="2">
        <f t="shared" si="46"/>
        <v>0.1199891551819615</v>
      </c>
      <c r="AI143" s="2">
        <f t="shared" si="47"/>
        <v>0.10099811712417744</v>
      </c>
      <c r="AJ143" s="2">
        <f>0.134318988499843*(8350/2783.333)</f>
        <v>0.40295701375785248</v>
      </c>
      <c r="AK143" s="2">
        <f>0.133100361872623*(8350/2783.333)</f>
        <v>0.39930113343836493</v>
      </c>
      <c r="AL143" s="2">
        <f>0.13652996919163*(8350/2783.333)</f>
        <v>0.40958995662757913</v>
      </c>
      <c r="AM143" s="2">
        <f>0.180448512217008*(8350/2783.333)</f>
        <v>0.54134560148283373</v>
      </c>
      <c r="AN143" s="2">
        <f>0.229810690596117*(8350/2783.333)</f>
        <v>0.68943215435507577</v>
      </c>
      <c r="AO143" s="2">
        <f>0.100886074888325*(8350/2783.333)</f>
        <v>0.30265826091147213</v>
      </c>
      <c r="AP143" s="2">
        <f>0.128270842263752*(8350/2783.333)</f>
        <v>0.38481257287659321</v>
      </c>
      <c r="AQ143" s="2">
        <f>0.122472275083586*(8350/2783.333)</f>
        <v>0.36741686925277889</v>
      </c>
      <c r="AR143" s="2">
        <f>0.157949856299475*(8350/2783.333)</f>
        <v>0.47384962564688166</v>
      </c>
      <c r="AS143" s="2">
        <f>0.151779434682461*(8350/2783.333)</f>
        <v>0.45533835857892441</v>
      </c>
      <c r="AT143" s="2">
        <f>0.271829564657842*(8350/2783.333)</f>
        <v>0.81548879163685295</v>
      </c>
      <c r="AU143" s="2">
        <f>0.153091809956249*(8350/2783.333)</f>
        <v>0.45927548487180031</v>
      </c>
      <c r="AV143" s="2">
        <f>0.187733380906275*(8350/2783.333)</f>
        <v>0.56320021016795219</v>
      </c>
      <c r="AW143" s="2">
        <f>0.090773206980535*(8350/2783.333)</f>
        <v>0.27231965355473725</v>
      </c>
    </row>
    <row r="144" spans="1:49" x14ac:dyDescent="0.25">
      <c r="A144" s="5">
        <v>45766</v>
      </c>
      <c r="B144" s="2">
        <f>0.246087871284778*(8350/2783.333)</f>
        <v>0.73826370226914861</v>
      </c>
      <c r="C144" s="2">
        <f>0.224910181167705*(8350/2783.333)</f>
        <v>0.67473062430917896</v>
      </c>
      <c r="D144" s="2">
        <f>0.179566551065622*(8350/2783.333)</f>
        <v>0.53869971771180369</v>
      </c>
      <c r="E144" s="2">
        <f>0.200139786045749*(8350/2783.333)</f>
        <v>0.60041943004376674</v>
      </c>
      <c r="F144" s="2">
        <f>0.175759462710392*(8350/2783.333)</f>
        <v>0.52727845127829476</v>
      </c>
      <c r="G144" s="2">
        <f>0.219369874868019*(8350/2783.333)</f>
        <v>0.65810970341958974</v>
      </c>
      <c r="H144" s="2">
        <f>0.217738976230774*(8350/2783.333)</f>
        <v>0.65321700692190299</v>
      </c>
      <c r="I144" s="2">
        <f>0.176609127545377*(8350/2783.333)</f>
        <v>0.52982744608852028</v>
      </c>
      <c r="J144" s="2">
        <f>0.182607711933695*(8350/2783.333)</f>
        <v>0.54782320140865493</v>
      </c>
      <c r="K144" s="2">
        <f>0.241462604004137*(8350/2783.333)</f>
        <v>0.72438789876545184</v>
      </c>
      <c r="L144" s="2">
        <f>0.242143323916109*(8350/2783.333)</f>
        <v>0.72643005874594024</v>
      </c>
      <c r="M144" s="2">
        <f>0.247150038328098*(8350/2783.333)</f>
        <v>0.7414502037807259</v>
      </c>
      <c r="N144" s="2">
        <f>0.206060024517149*(8350/2783.333)</f>
        <v>0.6181801475849964</v>
      </c>
      <c r="O144" s="2">
        <f>0.199060148680305*(8350/2783.333)</f>
        <v>0.59718051755954038</v>
      </c>
      <c r="P144" s="2">
        <f>0.315110674185595*(8350/2783.333)</f>
        <v>0.94533213577021569</v>
      </c>
      <c r="Q144" s="2">
        <f>0.284411125993414*(8350/2783.333)</f>
        <v>0.85323348016389344</v>
      </c>
      <c r="R144" s="2">
        <f>0.271321187625028*(8350/2783.333)</f>
        <v>0.81396366035576107</v>
      </c>
      <c r="S144" s="2">
        <f>0.103696946534176*(8350/2783.333)</f>
        <v>0.31109087685892012</v>
      </c>
      <c r="T144" s="2">
        <f t="shared" si="32"/>
        <v>0.10069243236843764</v>
      </c>
      <c r="U144" s="2">
        <f t="shared" si="33"/>
        <v>0.11437794326585224</v>
      </c>
      <c r="V144" s="2">
        <f t="shared" si="34"/>
        <v>0.11043877033537902</v>
      </c>
      <c r="W144" s="2">
        <f t="shared" si="35"/>
        <v>0.10705744606724045</v>
      </c>
      <c r="X144" s="2">
        <f t="shared" si="36"/>
        <v>0.11728533803050227</v>
      </c>
      <c r="Y144" s="2">
        <f t="shared" si="37"/>
        <v>0.10928020503416074</v>
      </c>
      <c r="Z144" s="2">
        <f t="shared" si="38"/>
        <v>0.10579568013572224</v>
      </c>
      <c r="AA144" s="2">
        <f t="shared" si="39"/>
        <v>0.11798772791544039</v>
      </c>
      <c r="AB144" s="2">
        <f t="shared" si="40"/>
        <v>0.10026757173055721</v>
      </c>
      <c r="AC144" s="2">
        <f t="shared" si="41"/>
        <v>0.1151901624778385</v>
      </c>
      <c r="AD144" s="2">
        <f t="shared" si="42"/>
        <v>0.10227444344259566</v>
      </c>
      <c r="AE144" s="2">
        <f t="shared" si="43"/>
        <v>0.10987695088187602</v>
      </c>
      <c r="AF144" s="2">
        <f t="shared" si="44"/>
        <v>0.11908712371493149</v>
      </c>
      <c r="AG144" s="2">
        <f t="shared" si="45"/>
        <v>9.9235315312320327E-2</v>
      </c>
      <c r="AH144" s="2">
        <f t="shared" si="46"/>
        <v>0.1199891551819615</v>
      </c>
      <c r="AI144" s="2">
        <f t="shared" si="47"/>
        <v>0.10099811712417744</v>
      </c>
      <c r="AJ144" s="2">
        <f>0.029865508729649*(8350/2783.333)</f>
        <v>8.9596536919071088E-2</v>
      </c>
      <c r="AK144" s="2">
        <f>0.100125046994271*(8350/2783.333)</f>
        <v>0.30037517695588717</v>
      </c>
      <c r="AL144" s="2">
        <f>0.10606222869834*(8350/2783.333)</f>
        <v>0.31818672420121391</v>
      </c>
      <c r="AM144" s="2">
        <f>0.196312117686636*(8350/2783.333)</f>
        <v>0.58893642359121501</v>
      </c>
      <c r="AN144" s="2">
        <f>0.17422134787084*(8350/2783.333)</f>
        <v>0.52266410620702375</v>
      </c>
      <c r="AO144" s="2">
        <f>0.0731274803184601*(8350/2783.333)</f>
        <v>0.21938246722872976</v>
      </c>
      <c r="AP144" s="2">
        <f>0.112112047848708*(8350/2783.333)</f>
        <v>0.33633618382590558</v>
      </c>
      <c r="AQ144" s="2">
        <f>0.135007473363234*(8350/2783.333)</f>
        <v>0.40502246859538715</v>
      </c>
      <c r="AR144" s="2">
        <f>0.228349430306789*(8350/2783.333)</f>
        <v>0.68504837296208954</v>
      </c>
      <c r="AS144" s="2">
        <f>0.130395255855377*(8350/2783.333)</f>
        <v>0.39118581441473271</v>
      </c>
      <c r="AT144" s="2">
        <f>0.194936883219646*(8350/2783.333)</f>
        <v>0.58481071969615084</v>
      </c>
      <c r="AU144" s="2">
        <f>0.129207497243682*(8350/2783.333)</f>
        <v>0.38762253815290626</v>
      </c>
      <c r="AV144" s="2">
        <f>0.115861855542817*(8350/2783.333)</f>
        <v>0.34758560825546875</v>
      </c>
      <c r="AW144" s="2">
        <f>0.105850263619425*(8350/2783.333)</f>
        <v>0.31755082888831532</v>
      </c>
    </row>
    <row r="145" spans="1:49" x14ac:dyDescent="0.25">
      <c r="A145" s="5">
        <v>45767</v>
      </c>
      <c r="B145" s="2">
        <f>0.305858739452618*(8350/2783.333)</f>
        <v>0.91757632824723423</v>
      </c>
      <c r="C145" s="2">
        <f>0.247497314746514*(8350/2783.333)</f>
        <v>0.74249203316074208</v>
      </c>
      <c r="D145" s="2">
        <f>0.172915938063192*(8350/2783.333)</f>
        <v>0.51874787631507013</v>
      </c>
      <c r="E145" s="2">
        <f>0.231643270886284*(8350/2783.333)</f>
        <v>0.6949298958839889</v>
      </c>
      <c r="F145" s="2">
        <f>0.196850598235639*(8350/2783.333)</f>
        <v>0.59055186543169036</v>
      </c>
      <c r="G145" s="2">
        <f>0.243059926149662*(8350/2783.333)</f>
        <v>0.72917986577591687</v>
      </c>
      <c r="H145" s="2">
        <f>0.234451397651995*(8350/2783.333)</f>
        <v>0.70335427719003163</v>
      </c>
      <c r="I145" s="2">
        <f>0.199442497597418*(8350/2783.333)</f>
        <v>0.5983275644482503</v>
      </c>
      <c r="J145" s="2">
        <f>0.207562778857389*(8350/2783.333)</f>
        <v>0.62268841114563001</v>
      </c>
      <c r="K145" s="2">
        <f>0.258747345722437*(8350/2783.333)</f>
        <v>0.77624213013044085</v>
      </c>
      <c r="L145" s="2">
        <f>0.23507040895636*(8350/2783.333)</f>
        <v>0.70521131132552561</v>
      </c>
      <c r="M145" s="2">
        <f>0.260366617917836*(8350/2783.333)</f>
        <v>0.78109994729841148</v>
      </c>
      <c r="N145" s="2">
        <f>0.22930580166153*(8350/2783.333)</f>
        <v>0.68791748736991898</v>
      </c>
      <c r="O145" s="2">
        <f>0.186290252349871*(8350/2783.333)</f>
        <v>0.55887082398024912</v>
      </c>
      <c r="P145" s="2">
        <f>0.270710674950142*(8350/2783.333)</f>
        <v>0.81213212211175834</v>
      </c>
      <c r="Q145" s="2">
        <f>0.191965718539502*(8350/2783.333)</f>
        <v>0.57589722458823378</v>
      </c>
      <c r="R145" s="2">
        <f>0.230008908027801*(8350/2783.333)</f>
        <v>0.69002680672134453</v>
      </c>
      <c r="S145" s="2">
        <f>0.0368255129593879*(8350/2783.333)</f>
        <v>0.11047655210888849</v>
      </c>
      <c r="T145" s="2">
        <f t="shared" si="32"/>
        <v>0.10069243236843764</v>
      </c>
      <c r="U145" s="2">
        <f t="shared" si="33"/>
        <v>0.11437794326585224</v>
      </c>
      <c r="V145" s="2">
        <f t="shared" si="34"/>
        <v>0.11043877033537902</v>
      </c>
      <c r="W145" s="2">
        <f t="shared" si="35"/>
        <v>0.10705744606724045</v>
      </c>
      <c r="X145" s="2">
        <f t="shared" si="36"/>
        <v>0.11728533803050227</v>
      </c>
      <c r="Y145" s="2">
        <f t="shared" si="37"/>
        <v>0.10928020503416074</v>
      </c>
      <c r="Z145" s="2">
        <f t="shared" si="38"/>
        <v>0.10579568013572224</v>
      </c>
      <c r="AA145" s="2">
        <f t="shared" si="39"/>
        <v>0.11798772791544039</v>
      </c>
      <c r="AB145" s="2">
        <f t="shared" si="40"/>
        <v>0.10026757173055721</v>
      </c>
      <c r="AC145" s="2">
        <f t="shared" si="41"/>
        <v>0.1151901624778385</v>
      </c>
      <c r="AD145" s="2">
        <f t="shared" si="42"/>
        <v>0.10227444344259566</v>
      </c>
      <c r="AE145" s="2">
        <f t="shared" si="43"/>
        <v>0.10987695088187602</v>
      </c>
      <c r="AF145" s="2">
        <f t="shared" si="44"/>
        <v>0.11908712371493149</v>
      </c>
      <c r="AG145" s="2">
        <f t="shared" si="45"/>
        <v>9.9235315312320327E-2</v>
      </c>
      <c r="AH145" s="2">
        <f t="shared" si="46"/>
        <v>0.1199891551819615</v>
      </c>
      <c r="AI145" s="2">
        <f t="shared" si="47"/>
        <v>0.10099811712417744</v>
      </c>
      <c r="AJ145" s="2">
        <f>0.000151601567155579*(8350/2783.333)</f>
        <v>4.5480475593437099E-4</v>
      </c>
      <c r="AK145" s="2">
        <f>0.0191856377474052*(8350/2783.333)</f>
        <v>5.755692013525978E-2</v>
      </c>
      <c r="AL145" s="2">
        <f>0.0103475345071551*(8350/2783.333)</f>
        <v>3.1042607239142813E-2</v>
      </c>
      <c r="AM145" s="2">
        <f>0.054200652021226*(8350/2783.333)</f>
        <v>0.16260197553696842</v>
      </c>
      <c r="AN145" s="2">
        <f>0.107141470615757*(8350/2783.333)</f>
        <v>0.32142445034121775</v>
      </c>
      <c r="AO145" s="2">
        <f>0.073575199585716*(8350/2783.333)</f>
        <v>0.22072562519135461</v>
      </c>
      <c r="AP145" s="2">
        <f>0.103283015848735*(8350/2783.333)</f>
        <v>0.30984908465388039</v>
      </c>
      <c r="AQ145" s="2">
        <f>0.12230288051224*(8350/2783.333)</f>
        <v>0.36690868547787903</v>
      </c>
      <c r="AR145" s="2">
        <f>0.184900969318516*(8350/2783.333)</f>
        <v>0.55470297438704219</v>
      </c>
      <c r="AS145" s="2">
        <f>0.198406591523472*(8350/2783.333)</f>
        <v>0.59521984585422993</v>
      </c>
      <c r="AT145" s="2">
        <f>0.201494894429727*(8350/2783.333)</f>
        <v>0.60448475568256432</v>
      </c>
      <c r="AU145" s="2">
        <f>0.131695446484574*(8350/2783.333)</f>
        <v>0.39508638676945779</v>
      </c>
      <c r="AV145" s="2">
        <f>0.116636333186819*(8350/2783.333)</f>
        <v>0.34990904146573265</v>
      </c>
      <c r="AW145" s="2">
        <f>0.122792523141477*(8350/2783.333)</f>
        <v>0.36837761354151111</v>
      </c>
    </row>
    <row r="146" spans="1:49" x14ac:dyDescent="0.25">
      <c r="A146" s="5">
        <v>45768</v>
      </c>
      <c r="B146" s="2">
        <f>0.363761767990212*(8350/2783.333)</f>
        <v>1.0912854346635039</v>
      </c>
      <c r="C146" s="2">
        <f>0.354185477608117*(8350/2783.333)</f>
        <v>1.0625565600766338</v>
      </c>
      <c r="D146" s="2">
        <f>0.244116618442153*(8350/2783.333)</f>
        <v>0.73234994303304046</v>
      </c>
      <c r="E146" s="2">
        <f>0.277971925063541*(8350/2783.333)</f>
        <v>0.83391587506078668</v>
      </c>
      <c r="F146" s="2">
        <f>0.232393067361518*(8350/2783.333)</f>
        <v>0.6971792855790786</v>
      </c>
      <c r="G146" s="2">
        <f>0.273383191790166*(8350/2783.333)</f>
        <v>0.82014967359201618</v>
      </c>
      <c r="H146" s="2">
        <f>0.250208823563433*(8350/2783.333)</f>
        <v>0.75062656058569543</v>
      </c>
      <c r="I146" s="2">
        <f>0.213422111914994*(8350/2783.333)</f>
        <v>0.64026641242359483</v>
      </c>
      <c r="J146" s="2">
        <f>0.400865519472668*(8350/2783.333)</f>
        <v>1.2025967024415598</v>
      </c>
      <c r="K146" s="2">
        <f>0.275508307388668*(8350/2783.333)</f>
        <v>0.8265250211510371</v>
      </c>
      <c r="L146" s="2">
        <f>0.27168314521859*(8350/2783.333)</f>
        <v>0.81504953326649321</v>
      </c>
      <c r="M146" s="2">
        <f>0.258604407305871*(8350/2783.333)</f>
        <v>0.77581331482938698</v>
      </c>
      <c r="N146" s="2">
        <f>0.266735442826213*(8350/2783.333)</f>
        <v>0.80020642431174493</v>
      </c>
      <c r="O146" s="2">
        <f>0.234740741368284*(8350/2783.333)</f>
        <v>0.70422230844285427</v>
      </c>
      <c r="P146" s="2">
        <f>0.222862132084751*(8350/2783.333)</f>
        <v>0.66858647632448909</v>
      </c>
      <c r="Q146" s="2">
        <f>0.0872571447906827*(8350/2783.333)</f>
        <v>0.26177146572192433</v>
      </c>
      <c r="R146" s="2">
        <f>0.0480115681805605*(8350/2783.333)</f>
        <v>0.14403472179134869</v>
      </c>
      <c r="S146" s="2">
        <f>0*(8350/2783.333)</f>
        <v>0</v>
      </c>
      <c r="T146" s="2">
        <f t="shared" si="32"/>
        <v>0.10069243236843764</v>
      </c>
      <c r="U146" s="2">
        <f t="shared" si="33"/>
        <v>0.11437794326585224</v>
      </c>
      <c r="V146" s="2">
        <f t="shared" si="34"/>
        <v>0.11043877033537902</v>
      </c>
      <c r="W146" s="2">
        <f t="shared" si="35"/>
        <v>0.10705744606724045</v>
      </c>
      <c r="X146" s="2">
        <f t="shared" si="36"/>
        <v>0.11728533803050227</v>
      </c>
      <c r="Y146" s="2">
        <f t="shared" si="37"/>
        <v>0.10928020503416074</v>
      </c>
      <c r="Z146" s="2">
        <f t="shared" si="38"/>
        <v>0.10579568013572224</v>
      </c>
      <c r="AA146" s="2">
        <f t="shared" si="39"/>
        <v>0.11798772791544039</v>
      </c>
      <c r="AB146" s="2">
        <f t="shared" si="40"/>
        <v>0.10026757173055721</v>
      </c>
      <c r="AC146" s="2">
        <f t="shared" si="41"/>
        <v>0.1151901624778385</v>
      </c>
      <c r="AD146" s="2">
        <f t="shared" si="42"/>
        <v>0.10227444344259566</v>
      </c>
      <c r="AE146" s="2">
        <f t="shared" si="43"/>
        <v>0.10987695088187602</v>
      </c>
      <c r="AF146" s="2">
        <f t="shared" si="44"/>
        <v>0.11908712371493149</v>
      </c>
      <c r="AG146" s="2">
        <f t="shared" si="45"/>
        <v>9.9235315312320327E-2</v>
      </c>
      <c r="AH146" s="2">
        <f t="shared" si="46"/>
        <v>0.1199891551819615</v>
      </c>
      <c r="AI146" s="2">
        <f t="shared" si="47"/>
        <v>0.10099811712417744</v>
      </c>
      <c r="AJ146" s="2">
        <f>0.0042448438803562*(8350/2783.333)</f>
        <v>1.2734533166162387E-2</v>
      </c>
      <c r="AK146" s="2">
        <f>0.0923308816593873*(8350/2783.333)</f>
        <v>0.27699267815093781</v>
      </c>
      <c r="AL146" s="2">
        <f>0.0419650010567957*(8350/2783.333)</f>
        <v>0.12589501824763474</v>
      </c>
      <c r="AM146" s="2">
        <f>0.201269494395894*(8350/2783.333)</f>
        <v>0.60380855550008417</v>
      </c>
      <c r="AN146" s="2">
        <f>0.0944087161367832*(8350/2783.333)</f>
        <v>0.28322618232965285</v>
      </c>
      <c r="AO146" s="2">
        <f>0.0389515762512614*(8350/2783.333)</f>
        <v>0.1168547427483642</v>
      </c>
      <c r="AP146" s="2">
        <f>0.12094107984868*(8350/2783.333)</f>
        <v>0.36282328299793049</v>
      </c>
      <c r="AQ146" s="2">
        <f>0.115188308515683*(8350/2783.333)</f>
        <v>0.34556496693207439</v>
      </c>
      <c r="AR146" s="2">
        <f>0.211362062100848*(8350/2783.333)</f>
        <v>0.63408626224101861</v>
      </c>
      <c r="AS146" s="2">
        <f>0.116728675401978*(8350/2783.333)</f>
        <v>0.35018606814438469</v>
      </c>
      <c r="AT146" s="2">
        <f>0.215102767690644*(8350/2783.333)</f>
        <v>0.64530838035437277</v>
      </c>
      <c r="AU146" s="2">
        <f>0.133685805877288*(8350/2783.333)</f>
        <v>0.40105746566269884</v>
      </c>
      <c r="AV146" s="2">
        <f>0.104399586411575*(8350/2783.333)</f>
        <v>0.31319879674356416</v>
      </c>
      <c r="AW146" s="2">
        <f>0.111601305842507*(8350/2783.333)</f>
        <v>0.33480395762380366</v>
      </c>
    </row>
    <row r="147" spans="1:49" x14ac:dyDescent="0.25">
      <c r="A147" s="5">
        <v>45769</v>
      </c>
      <c r="B147" s="2">
        <f>0.297920421024077*(8350/2783.333)</f>
        <v>0.89376137010951984</v>
      </c>
      <c r="C147" s="2">
        <f>0.301321973487503*(8350/2783.333)</f>
        <v>0.90396602872191301</v>
      </c>
      <c r="D147" s="2">
        <f>0.239030855557942*(8350/2783.333)</f>
        <v>0.71709265255318499</v>
      </c>
      <c r="E147" s="2">
        <f>0.291870521316718*(8350/2783.333)</f>
        <v>0.87561166881382568</v>
      </c>
      <c r="F147" s="2">
        <f>0.225362688853102*(8350/2783.333)</f>
        <v>0.67608814752794666</v>
      </c>
      <c r="G147" s="2">
        <f>0.268645181533837*(8350/2783.333)</f>
        <v>0.80593564112075056</v>
      </c>
      <c r="H147" s="2">
        <f>0.26119127192595*(8350/2783.333)</f>
        <v>0.78357390961903772</v>
      </c>
      <c r="I147" s="2">
        <f>0.225537777656894*(8350/2783.333)</f>
        <v>0.67661341400222708</v>
      </c>
      <c r="J147" s="2">
        <f>0.186568833667615*(8350/2783.333)</f>
        <v>0.55970656803357177</v>
      </c>
      <c r="K147" s="2">
        <f>0.249319304785182*(8350/2783.333)</f>
        <v>0.74795800393135636</v>
      </c>
      <c r="L147" s="2">
        <f>0.240479108631463*(8350/2783.333)</f>
        <v>0.72143741229407821</v>
      </c>
      <c r="M147" s="2">
        <f>0.25816385465288*(8350/2783.333)</f>
        <v>0.77449165671213061</v>
      </c>
      <c r="N147" s="2">
        <f>0.256491541033774*(8350/2783.333)</f>
        <v>0.76947471525398237</v>
      </c>
      <c r="O147" s="2">
        <f>0.24713505251253*(8350/2783.333)</f>
        <v>0.7414052463286368</v>
      </c>
      <c r="P147" s="2">
        <f>0.376753391570739*(8350/2783.333)</f>
        <v>1.130260310072734</v>
      </c>
      <c r="Q147" s="2">
        <f>0.47213190235391*(8350/2783.333)</f>
        <v>1.4163958766899796</v>
      </c>
      <c r="R147" s="2">
        <f>0.218843427055578*(8350/2783.333)</f>
        <v>0.65653035979312435</v>
      </c>
      <c r="S147" s="2">
        <f>0.090291843490382*(8350/2783.333)</f>
        <v>0.27087556291133313</v>
      </c>
      <c r="T147" s="2">
        <f t="shared" si="32"/>
        <v>0.10069243236843764</v>
      </c>
      <c r="U147" s="2">
        <f t="shared" si="33"/>
        <v>0.11437794326585224</v>
      </c>
      <c r="V147" s="2">
        <f t="shared" si="34"/>
        <v>0.11043877033537902</v>
      </c>
      <c r="W147" s="2">
        <f t="shared" si="35"/>
        <v>0.10705744606724045</v>
      </c>
      <c r="X147" s="2">
        <f t="shared" si="36"/>
        <v>0.11728533803050227</v>
      </c>
      <c r="Y147" s="2">
        <f t="shared" si="37"/>
        <v>0.10928020503416074</v>
      </c>
      <c r="Z147" s="2">
        <f t="shared" si="38"/>
        <v>0.10579568013572224</v>
      </c>
      <c r="AA147" s="2">
        <f t="shared" si="39"/>
        <v>0.11798772791544039</v>
      </c>
      <c r="AB147" s="2">
        <f t="shared" si="40"/>
        <v>0.10026757173055721</v>
      </c>
      <c r="AC147" s="2">
        <f t="shared" si="41"/>
        <v>0.1151901624778385</v>
      </c>
      <c r="AD147" s="2">
        <f t="shared" si="42"/>
        <v>0.10227444344259566</v>
      </c>
      <c r="AE147" s="2">
        <f t="shared" si="43"/>
        <v>0.10987695088187602</v>
      </c>
      <c r="AF147" s="2">
        <f t="shared" si="44"/>
        <v>0.11908712371493149</v>
      </c>
      <c r="AG147" s="2">
        <f t="shared" si="45"/>
        <v>9.9235315312320327E-2</v>
      </c>
      <c r="AH147" s="2">
        <f t="shared" si="46"/>
        <v>0.1199891551819615</v>
      </c>
      <c r="AI147" s="2">
        <f t="shared" si="47"/>
        <v>0.10099811712417744</v>
      </c>
      <c r="AJ147" s="2">
        <f>0.142353871559088*(8350/2783.333)</f>
        <v>0.42706166582237431</v>
      </c>
      <c r="AK147" s="2">
        <f>0.221534160864569*(8350/2783.333)</f>
        <v>0.66460256218682845</v>
      </c>
      <c r="AL147" s="2">
        <f>0.133655654050753*(8350/2783.333)</f>
        <v>0.40096701017226138</v>
      </c>
      <c r="AM147" s="2">
        <f>0.19697310124787*(8350/2783.333)</f>
        <v>0.5909193745123974</v>
      </c>
      <c r="AN147" s="2">
        <f>0.227947360672365*(8350/2783.333)</f>
        <v>0.68384216391435948</v>
      </c>
      <c r="AO147" s="2">
        <f>0.116407009486528*(8350/2783.333)</f>
        <v>0.3492210702824679</v>
      </c>
      <c r="AP147" s="2">
        <f>0.118275711697745*(8350/2783.333)</f>
        <v>0.35482717758750809</v>
      </c>
      <c r="AQ147" s="2">
        <f>0.135346262505927*(8350/2783.333)</f>
        <v>0.40603883614518743</v>
      </c>
      <c r="AR147" s="2">
        <f>0.204175098629103*(8350/2783.333)</f>
        <v>0.61252536924364209</v>
      </c>
      <c r="AS147" s="2">
        <f>0.232814217606149*(8350/2783.333)</f>
        <v>0.69844273646428245</v>
      </c>
      <c r="AT147" s="2">
        <f>0.190182325092338*(8350/2783.333)</f>
        <v>0.57054704360600061</v>
      </c>
      <c r="AU147" s="2">
        <f>0.154584579500785*(8350/2783.333)</f>
        <v>0.4637537940417315</v>
      </c>
      <c r="AV147" s="2">
        <f>0.117720601888423*(8350/2783.333)</f>
        <v>0.35316184796010169</v>
      </c>
      <c r="AW147" s="2">
        <f>0.104451361457054*(8350/2783.333)</f>
        <v>0.31335412189860173</v>
      </c>
    </row>
    <row r="148" spans="1:49" x14ac:dyDescent="0.25">
      <c r="A148" s="5">
        <v>45770</v>
      </c>
      <c r="B148" s="2">
        <f>0.249356590637707*(8350/2783.333)</f>
        <v>0.74806986150232535</v>
      </c>
      <c r="C148" s="2">
        <f>0.223468449237143*(8350/2783.333)</f>
        <v>0.67040542799950487</v>
      </c>
      <c r="D148" s="2">
        <f>0.176828063358739*(8350/2783.333)</f>
        <v>0.53048425360726625</v>
      </c>
      <c r="E148" s="2">
        <f>0.187167762876117*(8350/2783.333)</f>
        <v>0.56150335587426281</v>
      </c>
      <c r="F148" s="2">
        <f>0.165604471531569*(8350/2783.333)</f>
        <v>0.49681347409332638</v>
      </c>
      <c r="G148" s="2">
        <f>0.223160283073082*(8350/2783.333)</f>
        <v>0.66948092939660242</v>
      </c>
      <c r="H148" s="2">
        <f>0.229676420103075*(8350/2783.333)</f>
        <v>0.68902934282770922</v>
      </c>
      <c r="I148" s="2">
        <f>0.208296253331883*(8350/2783.333)</f>
        <v>0.62488883483263546</v>
      </c>
      <c r="J148" s="2">
        <f>0.170328234558544*(8350/2783.333)</f>
        <v>0.51098476487141342</v>
      </c>
      <c r="K148" s="2">
        <f>0.221558962025488*(8350/2783.333)</f>
        <v>0.66467696567849543</v>
      </c>
      <c r="L148" s="2">
        <f>0.230493816923582*(8350/2783.333)</f>
        <v>0.69148153358290543</v>
      </c>
      <c r="M148" s="2">
        <f>0.308827409746875*(8350/2783.333)</f>
        <v>0.92648234019659326</v>
      </c>
      <c r="N148" s="2">
        <f>0.436547814847038*(8350/2783.333)</f>
        <v>1.3096436013846577</v>
      </c>
      <c r="O148" s="2">
        <f>0.307979852675189*(8350/2783.333)</f>
        <v>0.92393966867702471</v>
      </c>
      <c r="P148" s="2">
        <f>0.308644654879462*(8350/2783.333)</f>
        <v>0.925934075528693</v>
      </c>
      <c r="Q148" s="2">
        <f>0.515996304870308*(8350/2783.333)</f>
        <v>1.5479890999988393</v>
      </c>
      <c r="R148" s="2">
        <f>0.0561995875601909*(8350/2783.333)</f>
        <v>0.16859878287204375</v>
      </c>
      <c r="S148" s="2">
        <f>0.0126346948228862*(8350/2783.333)</f>
        <v>3.7904089008070518E-2</v>
      </c>
      <c r="T148" s="2">
        <f t="shared" si="32"/>
        <v>0.10069243236843764</v>
      </c>
      <c r="U148" s="2">
        <f t="shared" si="33"/>
        <v>0.11437794326585224</v>
      </c>
      <c r="V148" s="2">
        <f t="shared" si="34"/>
        <v>0.11043877033537902</v>
      </c>
      <c r="W148" s="2">
        <f t="shared" si="35"/>
        <v>0.10705744606724045</v>
      </c>
      <c r="X148" s="2">
        <f t="shared" si="36"/>
        <v>0.11728533803050227</v>
      </c>
      <c r="Y148" s="2">
        <f t="shared" si="37"/>
        <v>0.10928020503416074</v>
      </c>
      <c r="Z148" s="2">
        <f t="shared" si="38"/>
        <v>0.10579568013572224</v>
      </c>
      <c r="AA148" s="2">
        <f t="shared" si="39"/>
        <v>0.11798772791544039</v>
      </c>
      <c r="AB148" s="2">
        <f t="shared" si="40"/>
        <v>0.10026757173055721</v>
      </c>
      <c r="AC148" s="2">
        <f t="shared" si="41"/>
        <v>0.1151901624778385</v>
      </c>
      <c r="AD148" s="2">
        <f t="shared" si="42"/>
        <v>0.10227444344259566</v>
      </c>
      <c r="AE148" s="2">
        <f t="shared" si="43"/>
        <v>0.10987695088187602</v>
      </c>
      <c r="AF148" s="2">
        <f t="shared" si="44"/>
        <v>0.11908712371493149</v>
      </c>
      <c r="AG148" s="2">
        <f t="shared" si="45"/>
        <v>9.9235315312320327E-2</v>
      </c>
      <c r="AH148" s="2">
        <f t="shared" si="46"/>
        <v>0.1199891551819615</v>
      </c>
      <c r="AI148" s="2">
        <f t="shared" si="47"/>
        <v>0.10099811712417744</v>
      </c>
      <c r="AJ148" s="2">
        <f>0.000151601567155579*(8350/2783.333)</f>
        <v>4.5480475593437099E-4</v>
      </c>
      <c r="AK148" s="2">
        <f>0.00599551179606411*(8350/2783.333)</f>
        <v>1.7986537542268692E-2</v>
      </c>
      <c r="AL148" s="2">
        <f>0.0971518517616229*(8350/2783.333)</f>
        <v>0.29145559018972994</v>
      </c>
      <c r="AM148" s="2">
        <f>0.05849704516925*(8350/2783.333)</f>
        <v>0.17549115652465488</v>
      </c>
      <c r="AN148" s="2">
        <f>0*(8350/2783.333)</f>
        <v>0</v>
      </c>
      <c r="AO148" s="2">
        <f>0.00194011682477547*(8350/2783.333)</f>
        <v>5.8203511713744629E-3</v>
      </c>
      <c r="AP148" s="2">
        <f>0.0348163714715898*(8350/2783.333)</f>
        <v>0.10444912692364675</v>
      </c>
      <c r="AQ148" s="2">
        <f>0.0907954902417735*(8350/2783.333)</f>
        <v>0.27238650334645864</v>
      </c>
      <c r="AR148" s="2">
        <f>0.188167770896582*(8350/2783.333)</f>
        <v>0.56450338029494063</v>
      </c>
      <c r="AS148" s="2">
        <f>0.25853954551843*(8350/2783.333)</f>
        <v>0.77561872944376142</v>
      </c>
      <c r="AT148" s="2">
        <f>0.130832323641108*(8350/2783.333)</f>
        <v>0.3924970179289558</v>
      </c>
      <c r="AU148" s="2">
        <f>0.211641548758585*(8350/2783.333)</f>
        <v>0.63492472231464481</v>
      </c>
      <c r="AV148" s="2">
        <f>0.0966548099715476*(8350/2783.333)</f>
        <v>0.28996446464092585</v>
      </c>
      <c r="AW148" s="2">
        <f>0.081136325417533*(8350/2783.333)</f>
        <v>0.24340900540337823</v>
      </c>
    </row>
    <row r="149" spans="1:49" x14ac:dyDescent="0.25">
      <c r="A149" s="5">
        <v>45771</v>
      </c>
      <c r="B149" s="2">
        <f>0.237682592948675*(8350/2783.333)</f>
        <v>0.71304786424097999</v>
      </c>
      <c r="C149" s="2">
        <f>0.218182098825082*(8350/2783.333)</f>
        <v>0.65454637486403244</v>
      </c>
      <c r="D149" s="2">
        <f>0.207342640664009*(8350/2783.333)</f>
        <v>0.62202799648639662</v>
      </c>
      <c r="E149" s="2">
        <f>0.253417738349595*(8350/2783.333)</f>
        <v>0.76025330609708386</v>
      </c>
      <c r="F149" s="2">
        <f>0.186305030473015*(8350/2783.333)</f>
        <v>0.55891515835499239</v>
      </c>
      <c r="G149" s="2">
        <f>0.256326354867383*(8350/2783.333)</f>
        <v>0.76897915669546091</v>
      </c>
      <c r="H149" s="2">
        <f>0.229676420103075*(8350/2783.333)</f>
        <v>0.68902934282770922</v>
      </c>
      <c r="I149" s="2">
        <f>0.263748723458268*(8350/2783.333)</f>
        <v>0.79124626513483509</v>
      </c>
      <c r="J149" s="2">
        <f>0.235686743168219*(8350/2783.333)</f>
        <v>0.70706031418253779</v>
      </c>
      <c r="K149" s="2">
        <f>0.313220471137687*(8350/2783.333)</f>
        <v>0.93966152594737673</v>
      </c>
      <c r="L149" s="2">
        <f>0.303303235626879*(8350/2783.333)</f>
        <v>0.90990981585187325</v>
      </c>
      <c r="M149" s="2">
        <f>0.481964602372441*(8350/2783.333)</f>
        <v>1.4458939802782784</v>
      </c>
      <c r="N149" s="2">
        <f>0.410544064143153*(8350/2783.333)</f>
        <v>1.2316323399303368</v>
      </c>
      <c r="O149" s="2">
        <f>0.217088237617389*(8350/2783.333)</f>
        <v>0.65126479084795152</v>
      </c>
      <c r="P149" s="2">
        <f>0.242260190003153*(8350/2783.333)</f>
        <v>0.7267806570490577</v>
      </c>
      <c r="Q149" s="2">
        <f>0.27261961994062*(8350/2783.333)</f>
        <v>0.81785895776903939</v>
      </c>
      <c r="R149" s="2">
        <f>0.0212144138472244*(8350/2783.333)</f>
        <v>6.3643249163619145E-2</v>
      </c>
      <c r="S149" s="2">
        <f>0.0107857150927078*(8350/2783.333)</f>
        <v>3.2357149153230937E-2</v>
      </c>
      <c r="T149" s="2">
        <f t="shared" si="32"/>
        <v>0.10069243236843764</v>
      </c>
      <c r="U149" s="2">
        <f t="shared" si="33"/>
        <v>0.11437794326585224</v>
      </c>
      <c r="V149" s="2">
        <f t="shared" si="34"/>
        <v>0.11043877033537902</v>
      </c>
      <c r="W149" s="2">
        <f t="shared" si="35"/>
        <v>0.10705744606724045</v>
      </c>
      <c r="X149" s="2">
        <f t="shared" si="36"/>
        <v>0.11728533803050227</v>
      </c>
      <c r="Y149" s="2">
        <f t="shared" si="37"/>
        <v>0.10928020503416074</v>
      </c>
      <c r="Z149" s="2">
        <f t="shared" si="38"/>
        <v>0.10579568013572224</v>
      </c>
      <c r="AA149" s="2">
        <f t="shared" si="39"/>
        <v>0.11798772791544039</v>
      </c>
      <c r="AB149" s="2">
        <f t="shared" si="40"/>
        <v>0.10026757173055721</v>
      </c>
      <c r="AC149" s="2">
        <f t="shared" si="41"/>
        <v>0.1151901624778385</v>
      </c>
      <c r="AD149" s="2">
        <f t="shared" si="42"/>
        <v>0.10227444344259566</v>
      </c>
      <c r="AE149" s="2">
        <f t="shared" si="43"/>
        <v>0.10987695088187602</v>
      </c>
      <c r="AF149" s="2">
        <f t="shared" si="44"/>
        <v>0.11908712371493149</v>
      </c>
      <c r="AG149" s="2">
        <f t="shared" si="45"/>
        <v>9.9235315312320327E-2</v>
      </c>
      <c r="AH149" s="2">
        <f t="shared" si="46"/>
        <v>0.1199891551819615</v>
      </c>
      <c r="AI149" s="2">
        <f t="shared" si="47"/>
        <v>0.10099811712417744</v>
      </c>
      <c r="AJ149" s="2">
        <f>0.000151601567155579*(8350/2783.333)</f>
        <v>4.5480475593437099E-4</v>
      </c>
      <c r="AK149" s="2">
        <f>0*(8350/2783.333)</f>
        <v>0</v>
      </c>
      <c r="AL149" s="2">
        <f>0.0189704799297843*(8350/2783.333)</f>
        <v>5.6911446605095152E-2</v>
      </c>
      <c r="AM149" s="2">
        <f>0*(8350/2783.333)</f>
        <v>0</v>
      </c>
      <c r="AN149" s="2">
        <f>0*(8350/2783.333)</f>
        <v>0</v>
      </c>
      <c r="AO149" s="2">
        <f>0.0104467829026372*(8350/2783.333)</f>
        <v>3.1340352461247105E-2</v>
      </c>
      <c r="AP149" s="2">
        <f>0.0433122324526954*(8350/2783.333)</f>
        <v>0.12993671291936915</v>
      </c>
      <c r="AQ149" s="2">
        <f>0.0738560331071143*(8350/2783.333)</f>
        <v>0.22156812585644775</v>
      </c>
      <c r="AR149" s="2">
        <f>0.142922569040373*(8350/2783.333)</f>
        <v>0.42876775847054965</v>
      </c>
      <c r="AS149" s="2">
        <f>0.189563510053625*(8350/2783.333)</f>
        <v>0.56869059826753432</v>
      </c>
      <c r="AT149" s="2">
        <f>0.10656768216381*(8350/2783.333)</f>
        <v>0.31970308477922427</v>
      </c>
      <c r="AU149" s="2">
        <f>0.166692599139795*(8350/2783.333)</f>
        <v>0.50007785730894838</v>
      </c>
      <c r="AV149" s="2">
        <f>0.0946411680971403*(8350/2783.333)</f>
        <v>0.28392353829423983</v>
      </c>
      <c r="AW149" s="2">
        <f>0.0733646467376927*(8350/2783.333)</f>
        <v>0.22009396657163699</v>
      </c>
    </row>
    <row r="150" spans="1:49" x14ac:dyDescent="0.25">
      <c r="A150" s="5">
        <v>45772</v>
      </c>
      <c r="B150" s="2">
        <f>0.218070276831103*(8350/2783.333)</f>
        <v>0.65421090884192146</v>
      </c>
      <c r="C150" s="2">
        <f>0.233560572751079*(8350/2783.333)</f>
        <v>0.70068180216722431</v>
      </c>
      <c r="D150" s="2">
        <f>0.179957763595177*(8350/2783.333)</f>
        <v>0.539873355441023</v>
      </c>
      <c r="E150" s="2">
        <f>0.215428241924244*(8350/2783.333)</f>
        <v>0.6462848031721099</v>
      </c>
      <c r="F150" s="2">
        <f>0.18396157097021*(8350/2783.333)</f>
        <v>0.55188477900461486</v>
      </c>
      <c r="G150" s="2">
        <f>0.218896073842386*(8350/2783.333)</f>
        <v>0.65668830017246338</v>
      </c>
      <c r="H150" s="2">
        <f>0.205801532358473*(8350/2783.333)</f>
        <v>0.61740467101609697</v>
      </c>
      <c r="I150" s="2">
        <f>0.23905140483055*(8350/2783.333)</f>
        <v>0.71715430037839345</v>
      </c>
      <c r="J150" s="2">
        <f>0.447606755932919*(8350/2783.333)</f>
        <v>1.3428204286155754</v>
      </c>
      <c r="K150" s="2">
        <f>0.378169197594331*(8350/2783.333)</f>
        <v>1.1345077286521834</v>
      </c>
      <c r="L150" s="2">
        <f>0.322025657579156*(8350/2783.333)</f>
        <v>0.96607708843532292</v>
      </c>
      <c r="M150" s="2">
        <f>0.290324198321242*(8350/2783.333)</f>
        <v>0.87097269927183274</v>
      </c>
      <c r="N150" s="2">
        <f>0.211575971636154*(8350/2783.333)</f>
        <v>0.63472799092379173</v>
      </c>
      <c r="O150" s="2">
        <f>0.18666583753606*(8350/2783.333)</f>
        <v>0.55999757967375752</v>
      </c>
      <c r="P150" s="2">
        <f>0.165099026283287*(8350/2783.333)</f>
        <v>0.49529713816688442</v>
      </c>
      <c r="Q150" s="2">
        <f>0.0839555230959001*(8350/2783.333)</f>
        <v>0.25186659945136503</v>
      </c>
      <c r="R150" s="2">
        <f>0.0104211155740751*(8350/2783.333)</f>
        <v>3.1263350466339213E-2</v>
      </c>
      <c r="S150" s="2">
        <f>0.00308163288363079*(8350/2783.333)</f>
        <v>9.2448997580659824E-3</v>
      </c>
      <c r="T150" s="2">
        <f t="shared" si="32"/>
        <v>0.10069243236843764</v>
      </c>
      <c r="U150" s="2">
        <f t="shared" si="33"/>
        <v>0.11437794326585224</v>
      </c>
      <c r="V150" s="2">
        <f t="shared" si="34"/>
        <v>0.11043877033537902</v>
      </c>
      <c r="W150" s="2">
        <f t="shared" si="35"/>
        <v>0.10705744606724045</v>
      </c>
      <c r="X150" s="2">
        <f t="shared" si="36"/>
        <v>0.11728533803050227</v>
      </c>
      <c r="Y150" s="2">
        <f t="shared" si="37"/>
        <v>0.10928020503416074</v>
      </c>
      <c r="Z150" s="2">
        <f t="shared" si="38"/>
        <v>0.10579568013572224</v>
      </c>
      <c r="AA150" s="2">
        <f t="shared" si="39"/>
        <v>0.11798772791544039</v>
      </c>
      <c r="AB150" s="2">
        <f t="shared" si="40"/>
        <v>0.10026757173055721</v>
      </c>
      <c r="AC150" s="2">
        <f t="shared" si="41"/>
        <v>0.1151901624778385</v>
      </c>
      <c r="AD150" s="2">
        <f t="shared" si="42"/>
        <v>0.10227444344259566</v>
      </c>
      <c r="AE150" s="2">
        <f t="shared" si="43"/>
        <v>0.10987695088187602</v>
      </c>
      <c r="AF150" s="2">
        <f t="shared" si="44"/>
        <v>0.11908712371493149</v>
      </c>
      <c r="AG150" s="2">
        <f t="shared" si="45"/>
        <v>9.9235315312320327E-2</v>
      </c>
      <c r="AH150" s="2">
        <f t="shared" si="46"/>
        <v>0.1199891551819615</v>
      </c>
      <c r="AI150" s="2">
        <f t="shared" si="47"/>
        <v>0.10099811712417744</v>
      </c>
      <c r="AJ150" s="2">
        <f>0*(8350/2783.333)</f>
        <v>0</v>
      </c>
      <c r="AK150" s="2">
        <f>0*(8350/2783.333)</f>
        <v>0</v>
      </c>
      <c r="AL150" s="2">
        <f>0.0327671926059911*(8350/2783.333)</f>
        <v>9.8301589590618896E-2</v>
      </c>
      <c r="AM150" s="2">
        <f>0.0697337657102358*(8350/2783.333)</f>
        <v>0.20920132218475809</v>
      </c>
      <c r="AN150" s="2">
        <f>0.0751543069246761*(8350/2783.333)</f>
        <v>0.22546294777557893</v>
      </c>
      <c r="AO150" s="2">
        <f>0.0435780086795722*(8350/2783.333)</f>
        <v>0.13073404169548794</v>
      </c>
      <c r="AP150" s="2">
        <f>0.0619698095092411*(8350/2783.333)</f>
        <v>0.18590945079232826</v>
      </c>
      <c r="AQ150" s="2">
        <f>0.0682660122526767*(8350/2783.333)</f>
        <v>0.20479806128474415</v>
      </c>
      <c r="AR150" s="2">
        <f>0.0842834807140939*(8350/2783.333)</f>
        <v>0.25285047242377551</v>
      </c>
      <c r="AS150" s="2">
        <f>0.101132695355157*(8350/2783.333)</f>
        <v>0.30339812240057579</v>
      </c>
      <c r="AT150" s="2">
        <f>0.270354012135573*(8350/2783.333)</f>
        <v>0.81106213353990886</v>
      </c>
      <c r="AU150" s="2">
        <f>0.120748469824648*(8350/2783.333)</f>
        <v>0.36224545285663146</v>
      </c>
      <c r="AV150" s="2">
        <f>0.128408393375662*(8350/2783.333)</f>
        <v>0.38522522626174277</v>
      </c>
      <c r="AW150" s="2">
        <f>0.0966796827772137*(8350/2783.333)</f>
        <v>0.29003908306686066</v>
      </c>
    </row>
    <row r="151" spans="1:49" x14ac:dyDescent="0.25">
      <c r="A151" s="5">
        <v>45773</v>
      </c>
      <c r="B151" s="2">
        <f>0.199858840436214*(8350/2783.333)</f>
        <v>0.59957659311422318</v>
      </c>
      <c r="C151" s="2">
        <f>0.216740366894519*(8350/2783.333)</f>
        <v>0.65022117855435801</v>
      </c>
      <c r="D151" s="2">
        <f>0.163135624824324*(8350/2783.333)</f>
        <v>0.4894069330845795</v>
      </c>
      <c r="E151" s="2">
        <f>0.196896780253342*(8350/2783.333)</f>
        <v>0.59069041150139112</v>
      </c>
      <c r="F151" s="2">
        <f>0.165213894947768*(8350/2783.333)</f>
        <v>0.49564174420159696</v>
      </c>
      <c r="G151" s="2">
        <f>0.175306379484162*(8350/2783.333)</f>
        <v>0.52591920143682114</v>
      </c>
      <c r="H151" s="2">
        <f>0.197684070525308*(8350/2783.333)</f>
        <v>0.59305228260014886</v>
      </c>
      <c r="I151" s="2">
        <f>0.22180988050554*(8350/2783.333)</f>
        <v>0.66542972120880128</v>
      </c>
      <c r="J151" s="2">
        <f>0.209939451897741*(8350/2783.333)</f>
        <v>0.62981843112057978</v>
      </c>
      <c r="K151" s="2">
        <f>0.277079647544877*(8350/2783.333)</f>
        <v>0.8312390421842174</v>
      </c>
      <c r="L151" s="2">
        <f>0.279172113999501*(8350/2783.333)</f>
        <v>0.8375164422998731</v>
      </c>
      <c r="M151" s="2">
        <f>0.263891039141766*(8350/2783.333)</f>
        <v>0.79167321223646103</v>
      </c>
      <c r="N151" s="2">
        <f>0.237579722340039*(8350/2783.333)</f>
        <v>0.71273925237811253</v>
      </c>
      <c r="O151" s="2">
        <f>0.194928711632223*(8350/2783.333)</f>
        <v>0.58478620493094624</v>
      </c>
      <c r="P151" s="2">
        <f>0.140959220873721*(8350/2783.333)</f>
        <v>0.42287771326519902</v>
      </c>
      <c r="Q151" s="2">
        <f>0.116028419559502*(8350/2783.333)</f>
        <v>0.3480853003653695</v>
      </c>
      <c r="R151" s="2">
        <f>0.0353573564120406*(8350/2783.333)</f>
        <v>0.10607208193936525</v>
      </c>
      <c r="S151" s="2">
        <f>0.0050846942579908*(8350/2783.333)</f>
        <v>1.5254084600808867E-2</v>
      </c>
      <c r="T151" s="2">
        <f t="shared" si="32"/>
        <v>0.10069243236843764</v>
      </c>
      <c r="U151" s="2">
        <f t="shared" si="33"/>
        <v>0.11437794326585224</v>
      </c>
      <c r="V151" s="2">
        <f t="shared" si="34"/>
        <v>0.11043877033537902</v>
      </c>
      <c r="W151" s="2">
        <f t="shared" si="35"/>
        <v>0.10705744606724045</v>
      </c>
      <c r="X151" s="2">
        <f t="shared" si="36"/>
        <v>0.11728533803050227</v>
      </c>
      <c r="Y151" s="2">
        <f t="shared" si="37"/>
        <v>0.10928020503416074</v>
      </c>
      <c r="Z151" s="2">
        <f t="shared" si="38"/>
        <v>0.10579568013572224</v>
      </c>
      <c r="AA151" s="2">
        <f t="shared" si="39"/>
        <v>0.11798772791544039</v>
      </c>
      <c r="AB151" s="2">
        <f t="shared" si="40"/>
        <v>0.10026757173055721</v>
      </c>
      <c r="AC151" s="2">
        <f t="shared" si="41"/>
        <v>0.1151901624778385</v>
      </c>
      <c r="AD151" s="2">
        <f t="shared" si="42"/>
        <v>0.10227444344259566</v>
      </c>
      <c r="AE151" s="2">
        <f t="shared" si="43"/>
        <v>0.10987695088187602</v>
      </c>
      <c r="AF151" s="2">
        <f t="shared" si="44"/>
        <v>0.11908712371493149</v>
      </c>
      <c r="AG151" s="2">
        <f t="shared" si="45"/>
        <v>9.9235315312320327E-2</v>
      </c>
      <c r="AH151" s="2">
        <f t="shared" si="46"/>
        <v>0.1199891551819615</v>
      </c>
      <c r="AI151" s="2">
        <f t="shared" si="47"/>
        <v>0.10099811712417744</v>
      </c>
      <c r="AJ151" s="2">
        <f>0*(8350/2783.333)</f>
        <v>0</v>
      </c>
      <c r="AK151" s="2">
        <f>0.000299775589803206*(8350/2783.333)</f>
        <v>8.9932687711343439E-4</v>
      </c>
      <c r="AL151" s="2">
        <f>0*(8350/2783.333)</f>
        <v>0</v>
      </c>
      <c r="AM151" s="2">
        <f>0.000660983561234463*(8350/2783.333)</f>
        <v>1.9829509211825415E-3</v>
      </c>
      <c r="AN151" s="2">
        <f>0*(8350/2783.333)</f>
        <v>0</v>
      </c>
      <c r="AO151" s="2">
        <f>0.0876037366264002*(8350/2783.333)</f>
        <v>0.26281124135360073</v>
      </c>
      <c r="AP151" s="2">
        <f>0.0596376123771729*(8350/2783.333)</f>
        <v>0.17891285855820835</v>
      </c>
      <c r="AQ151" s="2">
        <f>0.0684354068240233*(8350/2783.333)</f>
        <v>0.20530624505964429</v>
      </c>
      <c r="AR151" s="2">
        <f>0.158929896772894*(8350/2783.333)</f>
        <v>0.47678974741925084</v>
      </c>
      <c r="AS151" s="2">
        <f>0.188920376855818*(8350/2783.333)</f>
        <v>0.56676119844304695</v>
      </c>
      <c r="AT151" s="2">
        <f>0.161327075767983*(8350/2783.333)</f>
        <v>0.48398128526577955</v>
      </c>
      <c r="AU151" s="2">
        <f>0.113616348667422*(8350/2783.333)</f>
        <v>0.34084908682251713</v>
      </c>
      <c r="AV151" s="2">
        <f>0.0718715253634584*(8350/2783.333)</f>
        <v>0.21561460191248333</v>
      </c>
      <c r="AW151" s="2">
        <f>0.0669918702202236*(8350/2783.333)</f>
        <v>0.20097563472960922</v>
      </c>
    </row>
    <row r="152" spans="1:49" x14ac:dyDescent="0.25">
      <c r="A152" s="5">
        <v>45774</v>
      </c>
      <c r="B152" s="2">
        <f>0.216669397108419*(8350/2783.333)</f>
        <v>0.65000826917055954</v>
      </c>
      <c r="C152" s="2">
        <f>0.21481805765377*(8350/2783.333)</f>
        <v>0.64445425014145941</v>
      </c>
      <c r="D152" s="2">
        <f>0.169003812767645*(8350/2783.333)</f>
        <v>0.50701149902287412</v>
      </c>
      <c r="E152" s="2">
        <f>0.182071610916619*(8350/2783.333)</f>
        <v>0.54621489816481517</v>
      </c>
      <c r="F152" s="2">
        <f>0.173025426623785*(8350/2783.333)</f>
        <v>0.51907634203618758</v>
      </c>
      <c r="G152" s="2">
        <f>0.212736660509159*(8350/2783.333)</f>
        <v>0.63821005795981844</v>
      </c>
      <c r="H152" s="2">
        <f>0.211054007662285*(8350/2783.333)</f>
        <v>0.6331620988146518</v>
      </c>
      <c r="I152" s="2">
        <f>0.223673829081217*(8350/2783.333)</f>
        <v>0.67102156760551424</v>
      </c>
      <c r="J152" s="2">
        <f>0.214296685805053*(8350/2783.333)</f>
        <v>0.64289013440798803</v>
      </c>
      <c r="K152" s="2">
        <f>0.293840609211108*(8350/2783.333)</f>
        <v>0.88152193320481331</v>
      </c>
      <c r="L152" s="2">
        <f>0.297894535951777*(8350/2783.333)</f>
        <v>0.89368371488332132</v>
      </c>
      <c r="M152" s="2">
        <f>0.301338014646023*(8350/2783.333)</f>
        <v>0.90401415220323778</v>
      </c>
      <c r="N152" s="2">
        <f>0.203302050957646*(8350/2783.333)</f>
        <v>0.60990622591559884</v>
      </c>
      <c r="O152" s="2">
        <f>0.163755141178515*(8350/2783.333)</f>
        <v>0.49126548236973483</v>
      </c>
      <c r="P152" s="2">
        <f>0.141390288827463*(8350/2783.333)</f>
        <v>0.42417091728130041</v>
      </c>
      <c r="Q152" s="2">
        <f>0.114141778591055*(8350/2783.333)</f>
        <v>0.34242537678219304</v>
      </c>
      <c r="R152" s="2">
        <f>0.00111654809722234*(8350/2783.333)</f>
        <v>3.3496446928220612E-3</v>
      </c>
      <c r="S152" s="2">
        <f>0*(8350/2783.333)</f>
        <v>0</v>
      </c>
      <c r="T152" s="2">
        <f t="shared" si="32"/>
        <v>0.10069243236843764</v>
      </c>
      <c r="U152" s="2">
        <f t="shared" si="33"/>
        <v>0.11437794326585224</v>
      </c>
      <c r="V152" s="2">
        <f t="shared" si="34"/>
        <v>0.11043877033537902</v>
      </c>
      <c r="W152" s="2">
        <f t="shared" si="35"/>
        <v>0.10705744606724045</v>
      </c>
      <c r="X152" s="2">
        <f t="shared" si="36"/>
        <v>0.11728533803050227</v>
      </c>
      <c r="Y152" s="2">
        <f t="shared" si="37"/>
        <v>0.10928020503416074</v>
      </c>
      <c r="Z152" s="2">
        <f t="shared" si="38"/>
        <v>0.10579568013572224</v>
      </c>
      <c r="AA152" s="2">
        <f t="shared" si="39"/>
        <v>0.11798772791544039</v>
      </c>
      <c r="AB152" s="2">
        <f t="shared" si="40"/>
        <v>0.10026757173055721</v>
      </c>
      <c r="AC152" s="2">
        <f t="shared" si="41"/>
        <v>0.1151901624778385</v>
      </c>
      <c r="AD152" s="2">
        <f t="shared" si="42"/>
        <v>0.10227444344259566</v>
      </c>
      <c r="AE152" s="2">
        <f t="shared" si="43"/>
        <v>0.10987695088187602</v>
      </c>
      <c r="AF152" s="2">
        <f t="shared" si="44"/>
        <v>0.11908712371493149</v>
      </c>
      <c r="AG152" s="2">
        <f t="shared" si="45"/>
        <v>9.9235315312320327E-2</v>
      </c>
      <c r="AH152" s="2">
        <f t="shared" si="46"/>
        <v>0.1199891551819615</v>
      </c>
      <c r="AI152" s="2">
        <f t="shared" si="47"/>
        <v>0.10099811712417744</v>
      </c>
      <c r="AJ152" s="2">
        <f>0.000454804701466736*(8350/2783.333)</f>
        <v>1.3644142678031132E-3</v>
      </c>
      <c r="AK152" s="2">
        <f>0*(8350/2783.333)</f>
        <v>0</v>
      </c>
      <c r="AL152" s="2">
        <f>0*(8350/2783.333)</f>
        <v>0</v>
      </c>
      <c r="AM152" s="2">
        <f>0*(8350/2783.333)</f>
        <v>0</v>
      </c>
      <c r="AN152" s="2">
        <f>0.00155277493646025*(8350/2783.333)</f>
        <v>4.6583253672640304E-3</v>
      </c>
      <c r="AO152" s="2">
        <f>0.000447719267255878*(8350/2783.333)</f>
        <v>1.3431579626248758E-3</v>
      </c>
      <c r="AP152" s="2">
        <f>0.0149926958490099*(8350/2783.333)</f>
        <v>4.4978092933627777E-2</v>
      </c>
      <c r="AQ152" s="2">
        <f>0.0885933608142678*(8350/2783.333)</f>
        <v>0.26578011427275722</v>
      </c>
      <c r="AR152" s="2">
        <f>0.134918905174112*(8350/2783.333)</f>
        <v>0.4047567639961987</v>
      </c>
      <c r="AS152" s="2">
        <f>0.129269772759215*(8350/2783.333)</f>
        <v>0.38780936472188066</v>
      </c>
      <c r="AT152" s="2">
        <f>0.132471826443628*(8350/2783.333)</f>
        <v>0.39741552692555909</v>
      </c>
      <c r="AU152" s="2">
        <f>0.132856489463657*(8350/2783.333)</f>
        <v>0.39856951612384839</v>
      </c>
      <c r="AV152" s="2">
        <f>0.447493182704809*(8350/2783.333)</f>
        <v>1.3424797088904399</v>
      </c>
      <c r="AW152" s="2">
        <f>0.15916397936313*(8350/2783.333)</f>
        <v>0.47749199527406011</v>
      </c>
    </row>
    <row r="153" spans="1:49" x14ac:dyDescent="0.25">
      <c r="A153" s="5">
        <v>45775</v>
      </c>
      <c r="B153" s="2">
        <f>0.272237626108208*(8350/2783.333)</f>
        <v>0.81671297613456062</v>
      </c>
      <c r="C153" s="2">
        <f>0.231157686200142*(8350/2783.333)</f>
        <v>0.69347314165110074</v>
      </c>
      <c r="D153" s="2">
        <f>0.167047750119871*(8350/2783.333)</f>
        <v>0.50114331037677562</v>
      </c>
      <c r="E153" s="2">
        <f>0.223304113134378*(8350/2783.333)</f>
        <v>0.66991241963216508</v>
      </c>
      <c r="F153" s="2">
        <f>0.175759462710392*(8350/2783.333)</f>
        <v>0.52727845127829476</v>
      </c>
      <c r="G153" s="2">
        <f>0.213210461534792*(8350/2783.333)</f>
        <v>0.63963146120694492</v>
      </c>
      <c r="H153" s="2">
        <f>0.222991451534586*(8350/2783.333)</f>
        <v>0.66897443472045803</v>
      </c>
      <c r="I153" s="2">
        <f>0.220411919073782*(8350/2783.333)</f>
        <v>0.66123583641126704</v>
      </c>
      <c r="J153" s="2">
        <f>0.158444869356786*(8350/2783.333)</f>
        <v>0.47533466499666371</v>
      </c>
      <c r="K153" s="2">
        <f>0.242510164108276*(8350/2783.333)</f>
        <v>0.72753057945423982</v>
      </c>
      <c r="L153" s="2">
        <f>0.248800185054697*(8350/2783.333)</f>
        <v>0.74640064455338917</v>
      </c>
      <c r="M153" s="2">
        <f>0.249352801593054*(8350/2783.333)</f>
        <v>0.74805849436700678</v>
      </c>
      <c r="N153" s="2">
        <f>0.169024379575252*(8350/2783.333)</f>
        <v>0.5070731994530846</v>
      </c>
      <c r="O153" s="2">
        <f>0.104412681760613*(8350/2783.333)</f>
        <v>0.31323808279538157</v>
      </c>
      <c r="P153" s="2">
        <f>0.0418135915129996*(8350/2783.333)</f>
        <v>0.12544078956184798</v>
      </c>
      <c r="Q153" s="2">
        <f>0*(8350/2783.333)</f>
        <v>0</v>
      </c>
      <c r="R153" s="2">
        <f>0.0338686256157442*(8350/2783.333)</f>
        <v>0.10160588901560254</v>
      </c>
      <c r="S153" s="2">
        <f>0.0325112269223048*(8350/2783.333)</f>
        <v>9.7533692447596104E-2</v>
      </c>
      <c r="T153" s="2">
        <f t="shared" si="32"/>
        <v>0.10069243236843764</v>
      </c>
      <c r="U153" s="2">
        <f t="shared" si="33"/>
        <v>0.11437794326585224</v>
      </c>
      <c r="V153" s="2">
        <f t="shared" si="34"/>
        <v>0.11043877033537902</v>
      </c>
      <c r="W153" s="2">
        <f t="shared" si="35"/>
        <v>0.10705744606724045</v>
      </c>
      <c r="X153" s="2">
        <f t="shared" si="36"/>
        <v>0.11728533803050227</v>
      </c>
      <c r="Y153" s="2">
        <f t="shared" si="37"/>
        <v>0.10928020503416074</v>
      </c>
      <c r="Z153" s="2">
        <f t="shared" si="38"/>
        <v>0.10579568013572224</v>
      </c>
      <c r="AA153" s="2">
        <f t="shared" si="39"/>
        <v>0.11798772791544039</v>
      </c>
      <c r="AB153" s="2">
        <f t="shared" si="40"/>
        <v>0.10026757173055721</v>
      </c>
      <c r="AC153" s="2">
        <f t="shared" si="41"/>
        <v>0.1151901624778385</v>
      </c>
      <c r="AD153" s="2">
        <f t="shared" si="42"/>
        <v>0.10227444344259566</v>
      </c>
      <c r="AE153" s="2">
        <f t="shared" si="43"/>
        <v>0.10987695088187602</v>
      </c>
      <c r="AF153" s="2">
        <f t="shared" si="44"/>
        <v>0.11908712371493149</v>
      </c>
      <c r="AG153" s="2">
        <f t="shared" si="45"/>
        <v>9.9235315312320327E-2</v>
      </c>
      <c r="AH153" s="2">
        <f t="shared" si="46"/>
        <v>0.1199891551819615</v>
      </c>
      <c r="AI153" s="2">
        <f t="shared" si="47"/>
        <v>0.10099811712417744</v>
      </c>
      <c r="AJ153" s="2">
        <f>0*(8350/2783.333)</f>
        <v>0</v>
      </c>
      <c r="AK153" s="2">
        <f>0*(8350/2783.333)</f>
        <v>0</v>
      </c>
      <c r="AL153" s="2">
        <f>0.000287431514087642*(8350/2783.333)</f>
        <v>8.6229464553174557E-4</v>
      </c>
      <c r="AM153" s="2">
        <f>0*(8350/2783.333)</f>
        <v>0</v>
      </c>
      <c r="AN153" s="2">
        <f>0*(8350/2783.333)</f>
        <v>0</v>
      </c>
      <c r="AO153" s="2">
        <f>0.0122376599716607*(8350/2783.333)</f>
        <v>3.6712984311746598E-2</v>
      </c>
      <c r="AP153" s="2">
        <f>0.0364822265659242*(8350/2783.333)</f>
        <v>0.10944669280516096</v>
      </c>
      <c r="AQ153" s="2">
        <f>0.066063882825171*(8350/2783.333)</f>
        <v>0.1981916722110427</v>
      </c>
      <c r="AR153" s="2">
        <f>0.0975140271052598*(8350/2783.333)</f>
        <v>0.29254211635076355</v>
      </c>
      <c r="AS153" s="2">
        <f>0.11238752631678*(8350/2783.333)</f>
        <v>0.33716261932909769</v>
      </c>
      <c r="AT153" s="2">
        <f>0.106075831323054*(8350/2783.333)</f>
        <v>0.3182275320802434</v>
      </c>
      <c r="AU153" s="2">
        <f>0.115938434625589*(8350/2783.333)</f>
        <v>0.34781534553129823</v>
      </c>
      <c r="AV153" s="2">
        <f>0.0882904514163175*(8350/2783.333)</f>
        <v>0.26487138597007642</v>
      </c>
      <c r="AW153" s="2">
        <f>0.0868873676406149*(8350/2783.333)</f>
        <v>0.2606621341388668</v>
      </c>
    </row>
    <row r="154" spans="1:49" x14ac:dyDescent="0.25">
      <c r="A154" s="5">
        <v>45776</v>
      </c>
      <c r="B154" s="2">
        <f>0.261497548234299*(8350/2783.333)</f>
        <v>0.78449273865412417</v>
      </c>
      <c r="C154" s="2">
        <f>0.261914634052136*(8350/2783.333)</f>
        <v>0.78574399625748459</v>
      </c>
      <c r="D154" s="2">
        <f>0.163135624824324*(8350/2783.333)</f>
        <v>0.4894069330845795</v>
      </c>
      <c r="E154" s="2">
        <f>0.202456218754612*(8350/2783.333)</f>
        <v>0.60736872900260619</v>
      </c>
      <c r="F154" s="2">
        <f>0.172634850039985*(8350/2783.333)</f>
        <v>0.51790461214445827</v>
      </c>
      <c r="G154" s="2">
        <f>0.203734441022134*(8350/2783.333)</f>
        <v>0.61120339626441378</v>
      </c>
      <c r="H154" s="2">
        <f>0.211054007662285*(8350/2783.333)</f>
        <v>0.6331620988146518</v>
      </c>
      <c r="I154" s="2">
        <f>0.208296253331883*(8350/2783.333)</f>
        <v>0.62488883483263546</v>
      </c>
      <c r="J154" s="2">
        <f>0.154879859796258*(8350/2783.333)</f>
        <v>0.464639635034239</v>
      </c>
      <c r="K154" s="2">
        <f>0.227320542598255*(8350/2783.333)</f>
        <v>0.68196170946682544</v>
      </c>
      <c r="L154" s="2">
        <f>0.242143323916109*(8350/2783.333)</f>
        <v>0.72643005874594024</v>
      </c>
      <c r="M154" s="2">
        <f>0.237017327309299*(8350/2783.333)</f>
        <v>0.71105206708383339</v>
      </c>
      <c r="N154" s="2">
        <f>0.132382730856141*(8350/2783.333)</f>
        <v>0.3971482401310874</v>
      </c>
      <c r="O154" s="2">
        <f>0.0653518223969304*(8350/2783.333)</f>
        <v>0.19605549067049058</v>
      </c>
      <c r="P154" s="2">
        <f>0.0491417467266181*(8350/2783.333)</f>
        <v>0.14742525783557395</v>
      </c>
      <c r="Q154" s="2">
        <f>0.0481093446954035*(8350/2783.333)</f>
        <v>0.14432805137100696</v>
      </c>
      <c r="R154" s="2">
        <f>0.0182369522546315*(8350/2783.333)</f>
        <v>5.4710863316093671E-2</v>
      </c>
      <c r="S154" s="2">
        <f>0.00323571452781232*(8350/2783.333)</f>
        <v>9.7071447459692803E-3</v>
      </c>
      <c r="T154" s="2">
        <f t="shared" si="32"/>
        <v>0.10069243236843764</v>
      </c>
      <c r="U154" s="2">
        <f t="shared" si="33"/>
        <v>0.11437794326585224</v>
      </c>
      <c r="V154" s="2">
        <f t="shared" si="34"/>
        <v>0.11043877033537902</v>
      </c>
      <c r="W154" s="2">
        <f t="shared" si="35"/>
        <v>0.10705744606724045</v>
      </c>
      <c r="X154" s="2">
        <f t="shared" si="36"/>
        <v>0.11728533803050227</v>
      </c>
      <c r="Y154" s="2">
        <f t="shared" si="37"/>
        <v>0.10928020503416074</v>
      </c>
      <c r="Z154" s="2">
        <f t="shared" si="38"/>
        <v>0.10579568013572224</v>
      </c>
      <c r="AA154" s="2">
        <f t="shared" si="39"/>
        <v>0.11798772791544039</v>
      </c>
      <c r="AB154" s="2">
        <f t="shared" si="40"/>
        <v>0.10026757173055721</v>
      </c>
      <c r="AC154" s="2">
        <f t="shared" si="41"/>
        <v>0.1151901624778385</v>
      </c>
      <c r="AD154" s="2">
        <f t="shared" si="42"/>
        <v>0.10227444344259566</v>
      </c>
      <c r="AE154" s="2">
        <f t="shared" si="43"/>
        <v>0.10987695088187602</v>
      </c>
      <c r="AF154" s="2">
        <f t="shared" si="44"/>
        <v>0.11908712371493149</v>
      </c>
      <c r="AG154" s="2">
        <f t="shared" si="45"/>
        <v>9.9235315312320327E-2</v>
      </c>
      <c r="AH154" s="2">
        <f t="shared" si="46"/>
        <v>0.1199891551819615</v>
      </c>
      <c r="AI154" s="2">
        <f t="shared" si="47"/>
        <v>0.10099811712417744</v>
      </c>
      <c r="AJ154" s="2">
        <f>0.0128861332082242*(8350/2783.333)</f>
        <v>3.8658404254421519E-2</v>
      </c>
      <c r="AK154" s="2">
        <f>0.00749438974508014*(8350/2783.333)</f>
        <v>2.2483171927835863E-2</v>
      </c>
      <c r="AL154" s="2">
        <f>0.11094856443783*(8350/2783.333)</f>
        <v>0.33284573317525357</v>
      </c>
      <c r="AM154" s="2">
        <f>0.162601956063678*(8350/2783.333)</f>
        <v>0.48780592661090488</v>
      </c>
      <c r="AN154" s="2">
        <f>0.293785017978279*(8350/2783.333)</f>
        <v>0.8813551594863539</v>
      </c>
      <c r="AO154" s="2">
        <f>0.0268631560353527*(8350/2783.333)</f>
        <v>8.0589477757492561E-2</v>
      </c>
      <c r="AP154" s="2">
        <f>0.0421461338866613*(8350/2783.333)</f>
        <v>0.12643841680230922</v>
      </c>
      <c r="AQ154" s="2">
        <f>0.0814787888177109*(8350/2783.333)</f>
        <v>0.24443639572695261</v>
      </c>
      <c r="AR154" s="2">
        <f>0.129202002412497*(8350/2783.333)</f>
        <v>0.38760605365737683</v>
      </c>
      <c r="AS154" s="2">
        <f>0.204355573603187*(8350/2783.333)</f>
        <v>0.61306679423073429</v>
      </c>
      <c r="AT154" s="2">
        <f>0.154113263436894*(8350/2783.333)</f>
        <v>0.46233984568072461</v>
      </c>
      <c r="AU154" s="2">
        <f>0.114279801798327*(8350/2783.333)</f>
        <v>0.34283944645359765</v>
      </c>
      <c r="AV154" s="2">
        <f>0.0893747201179214*(8350/2783.333)</f>
        <v>0.2681241924644458</v>
      </c>
      <c r="AW154" s="2">
        <f>0.0997883542491498*(8350/2783.333)</f>
        <v>0.29936509859955718</v>
      </c>
    </row>
    <row r="155" spans="1:49" x14ac:dyDescent="0.25">
      <c r="A155" s="5">
        <v>45777</v>
      </c>
      <c r="B155" s="2">
        <f>0.275973305368698*(8350/2783.333)</f>
        <v>0.8279200152581917</v>
      </c>
      <c r="C155" s="2">
        <f>0.272967912186446*(8350/2783.333)</f>
        <v>0.81890383463165284</v>
      </c>
      <c r="D155" s="2">
        <f>0.198735965013804*(8350/2783.333)</f>
        <v>0.59620796644356489</v>
      </c>
      <c r="E155" s="2">
        <f>0.206625797630565*(8350/2783.333)</f>
        <v>0.61987746712851832</v>
      </c>
      <c r="F155" s="2">
        <f>0.171853696872383*(8350/2783.333)</f>
        <v>0.5155611523609992</v>
      </c>
      <c r="G155" s="2">
        <f>0.211789058457893*(8350/2783.333)</f>
        <v>0.63536725146556505</v>
      </c>
      <c r="H155" s="2">
        <f>0.212963998681853*(8350/2783.333)</f>
        <v>0.6388920725595808</v>
      </c>
      <c r="I155" s="2">
        <f>0.176609127545377*(8350/2783.333)</f>
        <v>0.52982744608852028</v>
      </c>
      <c r="J155" s="2">
        <f>0.174289356292464*(8350/2783.333)</f>
        <v>0.52286813149632994</v>
      </c>
      <c r="K155" s="2">
        <f>0.231510783014812*(8350/2783.333)</f>
        <v>0.69453243222197369</v>
      </c>
      <c r="L155" s="2">
        <f>0.242975431558433*(8350/2783.333)</f>
        <v>0.7289263819718711</v>
      </c>
      <c r="M155" s="2">
        <f>0.231290142820413*(8350/2783.333)</f>
        <v>0.69387051155950286</v>
      </c>
      <c r="N155" s="2">
        <f>0.175722315362616*(8350/2783.333)</f>
        <v>0.52716700922162185</v>
      </c>
      <c r="O155" s="2">
        <f>0.241501274719691*(8350/2783.333)</f>
        <v>0.72450391092600841</v>
      </c>
      <c r="P155" s="2">
        <f>0.112508735926731*(8350/2783.333)</f>
        <v>0.33752624820249816</v>
      </c>
      <c r="Q155" s="2">
        <f>0.0872571447906827*(8350/2783.333)</f>
        <v>0.26177146572192433</v>
      </c>
      <c r="R155" s="2">
        <f>0.0189813176527797*(8350/2783.333)</f>
        <v>5.6943959777974999E-2</v>
      </c>
      <c r="S155" s="2">
        <f>0.031432655413034*(8350/2783.333)</f>
        <v>9.4297977532272981E-2</v>
      </c>
      <c r="T155" s="2">
        <f t="shared" si="32"/>
        <v>0.10069243236843764</v>
      </c>
      <c r="U155" s="2">
        <f t="shared" si="33"/>
        <v>0.11437794326585224</v>
      </c>
      <c r="V155" s="2">
        <f t="shared" si="34"/>
        <v>0.11043877033537902</v>
      </c>
      <c r="W155" s="2">
        <f t="shared" si="35"/>
        <v>0.10705744606724045</v>
      </c>
      <c r="X155" s="2">
        <f t="shared" si="36"/>
        <v>0.11728533803050227</v>
      </c>
      <c r="Y155" s="2">
        <f t="shared" si="37"/>
        <v>0.10928020503416074</v>
      </c>
      <c r="Z155" s="2">
        <f t="shared" si="38"/>
        <v>0.10579568013572224</v>
      </c>
      <c r="AA155" s="2">
        <f t="shared" si="39"/>
        <v>0.11798772791544039</v>
      </c>
      <c r="AB155" s="2">
        <f t="shared" si="40"/>
        <v>0.10026757173055721</v>
      </c>
      <c r="AC155" s="2">
        <f t="shared" si="41"/>
        <v>0.1151901624778385</v>
      </c>
      <c r="AD155" s="2">
        <f t="shared" si="42"/>
        <v>0.10227444344259566</v>
      </c>
      <c r="AE155" s="2">
        <f t="shared" si="43"/>
        <v>0.10987695088187602</v>
      </c>
      <c r="AF155" s="2">
        <f t="shared" si="44"/>
        <v>0.11908712371493149</v>
      </c>
      <c r="AG155" s="2">
        <f t="shared" si="45"/>
        <v>9.9235315312320327E-2</v>
      </c>
      <c r="AH155" s="2">
        <f t="shared" si="46"/>
        <v>0.1199891551819615</v>
      </c>
      <c r="AI155" s="2">
        <f t="shared" si="47"/>
        <v>0.10099811712417744</v>
      </c>
      <c r="AJ155" s="2">
        <f>0*(8350/2783.333)</f>
        <v>0</v>
      </c>
      <c r="AK155" s="2">
        <f>0.0053959606164577*(8350/2783.333)</f>
        <v>1.6187883788041819E-2</v>
      </c>
      <c r="AL155" s="2">
        <f>0.0166710278170832*(8350/2783.333)</f>
        <v>5.0013089440841207E-2</v>
      </c>
      <c r="AM155" s="2">
        <f>0.0353626205260437*(8350/2783.333)</f>
        <v>0.10608787428326588</v>
      </c>
      <c r="AN155" s="2">
        <f>0.194407422044823*(8350/2783.333)</f>
        <v>0.58322233598145656</v>
      </c>
      <c r="AO155" s="2">
        <f>0.0150732153309479*(8350/2783.333)</f>
        <v>4.5219651408370816E-2</v>
      </c>
      <c r="AP155" s="2">
        <f>0.054806632603603*(8350/2783.333)</f>
        <v>0.1644199175018172</v>
      </c>
      <c r="AQ155" s="2">
        <f>0.0779215028194325*(8350/2783.333)</f>
        <v>0.23376453645405035</v>
      </c>
      <c r="AR155" s="2">
        <f>0.103394269945778*(8350/2783.333)</f>
        <v>0.31018284698498033</v>
      </c>
      <c r="AS155" s="2">
        <f>0.232814217606149*(8350/2783.333)</f>
        <v>0.69844273646428245</v>
      </c>
      <c r="AT155" s="2">
        <f>0.1667374350163*(8350/2783.333)</f>
        <v>0.500212364954571</v>
      </c>
      <c r="AU155" s="2">
        <f>0.200031118967754*(8350/2783.333)</f>
        <v>0.60009342877073824</v>
      </c>
      <c r="AV155" s="2">
        <f>0.11973424376283*(8350/2783.333)</f>
        <v>0.35920277430678782</v>
      </c>
      <c r="AW155" s="2">
        <f>0.108492634370571*(8350/2783.333)</f>
        <v>0.32547794209110725</v>
      </c>
    </row>
    <row r="156" spans="1:49" x14ac:dyDescent="0.25">
      <c r="A156" s="5">
        <v>45778</v>
      </c>
      <c r="B156" s="2">
        <f>0.284845543612361*(8350/2783.333)</f>
        <v>0.85453673317681289</v>
      </c>
      <c r="C156" s="2">
        <f>0.27969599452907*(8350/2783.333)</f>
        <v>0.8390880840767998</v>
      </c>
      <c r="D156" s="2">
        <f>0.197953539954695*(8350/2783.333)</f>
        <v>0.59386069098512551</v>
      </c>
      <c r="E156" s="2">
        <f>0.20755237071411*(8350/2783.333)</f>
        <v>0.62265718671205417</v>
      </c>
      <c r="F156" s="2">
        <f>0.146466218925326*(8350/2783.333)</f>
        <v>0.43939870939857884</v>
      </c>
      <c r="G156" s="2">
        <f>0.217000869739855*(8350/2783.333)</f>
        <v>0.65100268718395771</v>
      </c>
      <c r="H156" s="2">
        <f>0.223468949289478*(8350/2783.333)</f>
        <v>0.67040692815669034</v>
      </c>
      <c r="I156" s="2">
        <f>0.209228227619721*(8350/2783.333)</f>
        <v>0.62768475803099122</v>
      </c>
      <c r="J156" s="2">
        <f>0.183399936280479*(8350/2783.333)</f>
        <v>0.55019987473363841</v>
      </c>
      <c r="K156" s="2">
        <f>0.247224184576904*(8350/2783.333)</f>
        <v>0.74167264255378174</v>
      </c>
      <c r="L156" s="2">
        <f>0.247968077412373*(8350/2783.333)</f>
        <v>0.74390432132745776</v>
      </c>
      <c r="M156" s="2">
        <f>0.245828380369124*(8350/2783.333)</f>
        <v>0.73748522942895689</v>
      </c>
      <c r="N156" s="2">
        <f>0.243095669459045*(8350/2783.333)</f>
        <v>0.72928709571690775</v>
      </c>
      <c r="O156" s="2">
        <f>0.203942756100766*(8350/2783.333)</f>
        <v>0.61182834157515176</v>
      </c>
      <c r="P156" s="2">
        <f>0.0353475722068657*(8350/2783.333)</f>
        <v>0.10604272932032516</v>
      </c>
      <c r="Q156" s="2">
        <f>0.351858540615402*(8350/2783.333)</f>
        <v>1.0555757482624626</v>
      </c>
      <c r="R156" s="2">
        <f>0.0111654809722234*(8350/2783.333)</f>
        <v>3.3496446928220611E-2</v>
      </c>
      <c r="S156" s="2">
        <f>0.0265020427992248*(8350/2783.333)</f>
        <v>7.9506137919367448E-2</v>
      </c>
      <c r="T156" s="2">
        <f t="shared" si="32"/>
        <v>0.10069243236843764</v>
      </c>
      <c r="U156" s="2">
        <f t="shared" si="33"/>
        <v>0.11437794326585224</v>
      </c>
      <c r="V156" s="2">
        <f t="shared" si="34"/>
        <v>0.11043877033537902</v>
      </c>
      <c r="W156" s="2">
        <f t="shared" si="35"/>
        <v>0.10705744606724045</v>
      </c>
      <c r="X156" s="2">
        <f t="shared" si="36"/>
        <v>0.11728533803050227</v>
      </c>
      <c r="Y156" s="2">
        <f t="shared" si="37"/>
        <v>0.10928020503416074</v>
      </c>
      <c r="Z156" s="2">
        <f t="shared" si="38"/>
        <v>0.10579568013572224</v>
      </c>
      <c r="AA156" s="2">
        <f t="shared" si="39"/>
        <v>0.11798772791544039</v>
      </c>
      <c r="AB156" s="2">
        <f t="shared" si="40"/>
        <v>0.10026757173055721</v>
      </c>
      <c r="AC156" s="2">
        <f t="shared" si="41"/>
        <v>0.1151901624778385</v>
      </c>
      <c r="AD156" s="2">
        <f t="shared" si="42"/>
        <v>0.10227444344259566</v>
      </c>
      <c r="AE156" s="2">
        <f t="shared" si="43"/>
        <v>0.10987695088187602</v>
      </c>
      <c r="AF156" s="2">
        <f t="shared" si="44"/>
        <v>0.11908712371493149</v>
      </c>
      <c r="AG156" s="2">
        <f t="shared" si="45"/>
        <v>9.9235315312320327E-2</v>
      </c>
      <c r="AH156" s="2">
        <f t="shared" si="46"/>
        <v>0.1199891551819615</v>
      </c>
      <c r="AI156" s="2">
        <f t="shared" si="47"/>
        <v>0.10099811712417744</v>
      </c>
      <c r="AJ156" s="2">
        <f>0.00788328149209008*(8350/2783.333)</f>
        <v>2.3649847308587286E-2</v>
      </c>
      <c r="AK156" s="2">
        <f>0.115113826484431*(8350/2783.333)</f>
        <v>0.34534152081155867</v>
      </c>
      <c r="AL156" s="2">
        <f>0.100313598416587*(8350/2783.333)</f>
        <v>0.3009408312905788</v>
      </c>
      <c r="AM156" s="2">
        <f>0.0241258999850579*(8350/2783.333)</f>
        <v>7.2377708623162756E-2</v>
      </c>
      <c r="AN156" s="2">
        <f>0.132606979573705*(8350/2783.333)</f>
        <v>0.39782098636434776</v>
      </c>
      <c r="AO156" s="2">
        <f>0.0273108753026086*(8350/2783.333)</f>
        <v>8.1932635720117442E-2</v>
      </c>
      <c r="AP156" s="2">
        <f>0.069799328452613*(8350/2783.333)</f>
        <v>0.20939801043544495</v>
      </c>
      <c r="AQ156" s="2">
        <f>0.13568505164862*(8350/2783.333)</f>
        <v>0.40705520369498766</v>
      </c>
      <c r="AR156" s="2">
        <f>0.223122547781884*(8350/2783.333)</f>
        <v>0.66936772350945239</v>
      </c>
      <c r="AS156" s="2">
        <f>0.179594945487616*(8350/2783.333)</f>
        <v>0.53878490098798582</v>
      </c>
      <c r="AT156" s="2">
        <f>0.235760503002398*(8350/2783.333)</f>
        <v>0.70728159371157651</v>
      </c>
      <c r="AU156" s="2">
        <f>0.159726341265296*(8350/2783.333)</f>
        <v>0.47917908118260433</v>
      </c>
      <c r="AV156" s="2">
        <f>0.154895528800557*(8350/2783.333)</f>
        <v>0.46468664205276555</v>
      </c>
      <c r="AW156" s="2">
        <f>0.152946636419258*(8350/2783.333)</f>
        <v>0.45883996420866668</v>
      </c>
    </row>
    <row r="157" spans="1:49" x14ac:dyDescent="0.25">
      <c r="A157" s="5">
        <v>45779</v>
      </c>
      <c r="B157" s="2">
        <f>0.40018464077999*(8350/2783.333)</f>
        <v>1.2005540661189</v>
      </c>
      <c r="C157" s="2">
        <f>0.281618303769819*(8350/2783.333)</f>
        <v>0.84485501248969863</v>
      </c>
      <c r="D157" s="2">
        <f>0.195215052247812*(8350/2783.333)</f>
        <v>0.58564522688058795</v>
      </c>
      <c r="E157" s="2">
        <f>0.22191425350906*(8350/2783.333)</f>
        <v>0.66574284025686148</v>
      </c>
      <c r="F157" s="2">
        <f>0.174197156375188*(8350/2783.333)</f>
        <v>0.52259153171137651</v>
      </c>
      <c r="G157" s="2">
        <f>0.224107885124348*(8350/2783.333)</f>
        <v>0.67232373589085548</v>
      </c>
      <c r="H157" s="2">
        <f>0.214396491946529*(8350/2783.333)</f>
        <v>0.64318955286827739</v>
      </c>
      <c r="I157" s="2">
        <f>0.205500330468368*(8350/2783.333)</f>
        <v>0.61650106523756598</v>
      </c>
      <c r="J157" s="2">
        <f>0.163990439784273*(8350/2783.333)</f>
        <v>0.49197137827154691</v>
      </c>
      <c r="K157" s="2">
        <f>0.268175386659692*(8350/2783.333)</f>
        <v>0.80452625632952612</v>
      </c>
      <c r="L157" s="2">
        <f>0.252544669445152*(8350/2783.333)</f>
        <v>0.75763409907007884</v>
      </c>
      <c r="M157" s="2">
        <f>0.407511204016917*(8350/2783.333)</f>
        <v>1.2225337584619811</v>
      </c>
      <c r="N157" s="2">
        <f>0.317166959342839*(8350/2783.333)</f>
        <v>0.95150099198073057</v>
      </c>
      <c r="O157" s="2">
        <f>0.121314015139129*(8350/2783.333)</f>
        <v>0.3639420890032668</v>
      </c>
      <c r="P157" s="2">
        <f>0.140097084966236*(8350/2783.333)</f>
        <v>0.42029130523299602</v>
      </c>
      <c r="Q157" s="2">
        <f>0.229698537908446*(8350/2783.333)</f>
        <v>0.6890956962517687</v>
      </c>
      <c r="R157" s="2">
        <f>0.00707147128240813*(8350/2783.333)</f>
        <v>2.1214416387873053E-2</v>
      </c>
      <c r="S157" s="2">
        <f>0.0147918378414278*(8350/2783.333)</f>
        <v>4.4375518838716675E-2</v>
      </c>
      <c r="T157" s="2">
        <f t="shared" si="32"/>
        <v>0.10069243236843764</v>
      </c>
      <c r="U157" s="2">
        <f t="shared" si="33"/>
        <v>0.11437794326585224</v>
      </c>
      <c r="V157" s="2">
        <f t="shared" si="34"/>
        <v>0.11043877033537902</v>
      </c>
      <c r="W157" s="2">
        <f t="shared" si="35"/>
        <v>0.10705744606724045</v>
      </c>
      <c r="X157" s="2">
        <f t="shared" si="36"/>
        <v>0.11728533803050227</v>
      </c>
      <c r="Y157" s="2">
        <f t="shared" si="37"/>
        <v>0.10928020503416074</v>
      </c>
      <c r="Z157" s="2">
        <f t="shared" si="38"/>
        <v>0.10579568013572224</v>
      </c>
      <c r="AA157" s="2">
        <f t="shared" si="39"/>
        <v>0.11798772791544039</v>
      </c>
      <c r="AB157" s="2">
        <f t="shared" si="40"/>
        <v>0.10026757173055721</v>
      </c>
      <c r="AC157" s="2">
        <f t="shared" si="41"/>
        <v>0.1151901624778385</v>
      </c>
      <c r="AD157" s="2">
        <f t="shared" si="42"/>
        <v>0.10227444344259566</v>
      </c>
      <c r="AE157" s="2">
        <f t="shared" si="43"/>
        <v>0.10987695088187602</v>
      </c>
      <c r="AF157" s="2">
        <f t="shared" si="44"/>
        <v>0.11908712371493149</v>
      </c>
      <c r="AG157" s="2">
        <f t="shared" si="45"/>
        <v>9.9235315312320327E-2</v>
      </c>
      <c r="AH157" s="2">
        <f t="shared" si="46"/>
        <v>0.1199891551819615</v>
      </c>
      <c r="AI157" s="2">
        <f t="shared" si="47"/>
        <v>0.10099811712417744</v>
      </c>
      <c r="AJ157" s="2">
        <f>0.0439644544751177*(8350/2783.333)</f>
        <v>0.1318933792209675</v>
      </c>
      <c r="AK157" s="2">
        <f>0.0107919212329154*(8350/2783.333)</f>
        <v>3.2375767576083632E-2</v>
      </c>
      <c r="AL157" s="2">
        <f>0.0132218496480315*(8350/2783.333)</f>
        <v>3.9665553694460273E-2</v>
      </c>
      <c r="AM157" s="2">
        <f>0*(8350/2783.333)</f>
        <v>0</v>
      </c>
      <c r="AN157" s="2">
        <f>0.00031055498729205*(8350/2783.333)</f>
        <v>9.3166507345280539E-4</v>
      </c>
      <c r="AO157" s="2">
        <f>0.00746198778759797*(8350/2783.333)</f>
        <v>2.2385966043747936E-2</v>
      </c>
      <c r="AP157" s="2">
        <f>0.0551398036224699*(8350/2783.333)</f>
        <v>0.16541943067812001</v>
      </c>
      <c r="AQ157" s="2">
        <f>0.0611514402561199*(8350/2783.333)</f>
        <v>0.18345434273893957</v>
      </c>
      <c r="AR157" s="2">
        <f>0.0994741080520992*(8350/2783.333)</f>
        <v>0.29842235989550253</v>
      </c>
      <c r="AS157" s="2">
        <f>0.25757484572172*(8350/2783.333)</f>
        <v>0.77272462970703082</v>
      </c>
      <c r="AT157" s="2">
        <f>0.200019341907459*(8350/2783.333)</f>
        <v>0.60005809758562134</v>
      </c>
      <c r="AU157" s="2">
        <f>0.195221083768695*(8350/2783.333)</f>
        <v>0.58566332144540556</v>
      </c>
      <c r="AV157" s="2">
        <f>0.120353825878033*(8350/2783.333)</f>
        <v>0.36106152087499882</v>
      </c>
      <c r="AW157" s="2">
        <f>0.12947616680614*(8350/2783.333)</f>
        <v>0.38842854693680856</v>
      </c>
    </row>
    <row r="158" spans="1:49" x14ac:dyDescent="0.25">
      <c r="A158" s="5">
        <v>45780</v>
      </c>
      <c r="B158" s="2">
        <f>0.306325699360179*(8350/2783.333)</f>
        <v>0.91897720813768835</v>
      </c>
      <c r="C158" s="2">
        <f>0.2518225105382*(8350/2783.333)</f>
        <v>0.75546762208976426</v>
      </c>
      <c r="D158" s="2">
        <f>0.199518390072914*(8350/2783.333)</f>
        <v>0.59855524190200415</v>
      </c>
      <c r="E158" s="2">
        <f>0.217281388091334*(8350/2783.333)</f>
        <v>0.65184424233918159</v>
      </c>
      <c r="F158" s="2">
        <f>0.180446381716002*(8350/2783.333)</f>
        <v>0.54133920997904905</v>
      </c>
      <c r="G158" s="2">
        <f>0.216527068714222*(8350/2783.333)</f>
        <v>0.64958128393683046</v>
      </c>
      <c r="H158" s="2">
        <f>0.221081460515018*(8350/2783.333)</f>
        <v>0.66324446097552858</v>
      </c>
      <c r="I158" s="2">
        <f>0.211558163339317*(8350/2783.333)</f>
        <v>0.63467456602688188</v>
      </c>
      <c r="J158" s="2">
        <f>0.184192160627263*(8350/2783.333)</f>
        <v>0.55257654805862166</v>
      </c>
      <c r="K158" s="2">
        <f>0.233605903223091*(8350/2783.333)</f>
        <v>0.70081779359954821</v>
      </c>
      <c r="L158" s="2">
        <f>0.239230947167977*(8350/2783.333)</f>
        <v>0.71769292745518132</v>
      </c>
      <c r="M158" s="2">
        <f>0.211905826088797*(8350/2783.333)</f>
        <v>0.63571755440022981</v>
      </c>
      <c r="N158" s="2">
        <f>0.516529048072623*(8350/2783.333)</f>
        <v>1.5495873297971896</v>
      </c>
      <c r="O158" s="2">
        <f>0.299716978579026*(8350/2783.333)</f>
        <v>0.89915104341983643</v>
      </c>
      <c r="P158" s="2">
        <f>0.309075722833204*(8350/2783.333)</f>
        <v>0.92722727954479456</v>
      </c>
      <c r="Q158" s="2">
        <f>0.114613438833167*(8350/2783.333)</f>
        <v>0.34384035767798699</v>
      </c>
      <c r="R158" s="2">
        <f>0.13398577166668*(8350/2783.333)</f>
        <v>0.40195736313864727</v>
      </c>
      <c r="S158" s="2">
        <f>0.00893673536252928*(8350/2783.333)</f>
        <v>2.6810209298391344E-2</v>
      </c>
      <c r="T158" s="2">
        <f t="shared" si="32"/>
        <v>0.10069243236843764</v>
      </c>
      <c r="U158" s="2">
        <f t="shared" si="33"/>
        <v>0.11437794326585224</v>
      </c>
      <c r="V158" s="2">
        <f t="shared" si="34"/>
        <v>0.11043877033537902</v>
      </c>
      <c r="W158" s="2">
        <f t="shared" si="35"/>
        <v>0.10705744606724045</v>
      </c>
      <c r="X158" s="2">
        <f t="shared" si="36"/>
        <v>0.11728533803050227</v>
      </c>
      <c r="Y158" s="2">
        <f t="shared" si="37"/>
        <v>0.10928020503416074</v>
      </c>
      <c r="Z158" s="2">
        <f t="shared" si="38"/>
        <v>0.10579568013572224</v>
      </c>
      <c r="AA158" s="2">
        <f t="shared" si="39"/>
        <v>0.11798772791544039</v>
      </c>
      <c r="AB158" s="2">
        <f t="shared" si="40"/>
        <v>0.10026757173055721</v>
      </c>
      <c r="AC158" s="2">
        <f t="shared" si="41"/>
        <v>0.1151901624778385</v>
      </c>
      <c r="AD158" s="2">
        <f t="shared" si="42"/>
        <v>0.10227444344259566</v>
      </c>
      <c r="AE158" s="2">
        <f t="shared" si="43"/>
        <v>0.10987695088187602</v>
      </c>
      <c r="AF158" s="2">
        <f t="shared" si="44"/>
        <v>0.11908712371493149</v>
      </c>
      <c r="AG158" s="2">
        <f t="shared" si="45"/>
        <v>9.9235315312320327E-2</v>
      </c>
      <c r="AH158" s="2">
        <f t="shared" si="46"/>
        <v>0.1199891551819615</v>
      </c>
      <c r="AI158" s="2">
        <f t="shared" si="47"/>
        <v>0.10099811712417744</v>
      </c>
      <c r="AJ158" s="2">
        <f>0*(8350/2783.333)</f>
        <v>0</v>
      </c>
      <c r="AK158" s="2">
        <f>0.00209842912862244*(8350/2783.333)</f>
        <v>6.2952881397940396E-3</v>
      </c>
      <c r="AL158" s="2">
        <f>0.00919780845080454*(8350/2783.333)</f>
        <v>2.7593428657015848E-2</v>
      </c>
      <c r="AM158" s="2">
        <f>0*(8350/2783.333)</f>
        <v>0</v>
      </c>
      <c r="AN158" s="2">
        <f>0*(8350/2783.333)</f>
        <v>0</v>
      </c>
      <c r="AO158" s="2">
        <f>0.000447719267255878*(8350/2783.333)</f>
        <v>1.3431579626248758E-3</v>
      </c>
      <c r="AP158" s="2">
        <f>0.0156590378867437*(8350/2783.333)</f>
        <v>4.6977119286233437E-2</v>
      </c>
      <c r="AQ158" s="2">
        <f>0.0992652188091031*(8350/2783.333)</f>
        <v>0.29779569209146411</v>
      </c>
      <c r="AR158" s="2">
        <f>0.22687936959666*(8350/2783.333)</f>
        <v>0.68063819030353545</v>
      </c>
      <c r="AS158" s="2">
        <f>0.161747999248471*(8350/2783.333)</f>
        <v>0.48524405585847241</v>
      </c>
      <c r="AT158" s="2">
        <f>0.19116602677385*(8350/2783.333)</f>
        <v>0.57349814900396268</v>
      </c>
      <c r="AU158" s="2">
        <f>0.12539264174098*(8350/2783.333)</f>
        <v>0.37617797027419392</v>
      </c>
      <c r="AV158" s="2">
        <f>0.102385944537168*(8350/2783.333)</f>
        <v>0.30715787039687797</v>
      </c>
      <c r="AW158" s="2">
        <f>0.0885971369501798*(8350/2783.333)</f>
        <v>0.26579144268184979</v>
      </c>
    </row>
    <row r="159" spans="1:49" x14ac:dyDescent="0.25">
      <c r="A159" s="5">
        <v>45781</v>
      </c>
      <c r="B159" s="2">
        <f>0.275973305368698*(8350/2783.333)</f>
        <v>0.8279200152581917</v>
      </c>
      <c r="C159" s="2">
        <f>0.266239829843822*(8350/2783.333)</f>
        <v>0.79871958518650676</v>
      </c>
      <c r="D159" s="2">
        <f>0.193258989600038*(8350/2783.333)</f>
        <v>0.57977703823449012</v>
      </c>
      <c r="E159" s="2">
        <f>0.198286639878659*(8350/2783.333)</f>
        <v>0.59485999087669439</v>
      </c>
      <c r="F159" s="2">
        <f>0.17068196712098*(8350/2783.333)</f>
        <v>0.51204596268581037</v>
      </c>
      <c r="G159" s="2">
        <f>0.178149185637959*(8350/2783.333)</f>
        <v>0.53444762091958031</v>
      </c>
      <c r="H159" s="2">
        <f>0.197684070525308*(8350/2783.333)</f>
        <v>0.59305228260014886</v>
      </c>
      <c r="I159" s="2">
        <f>0.206432304756206*(8350/2783.333)</f>
        <v>0.61929698843592262</v>
      </c>
      <c r="J159" s="2">
        <f>0.173893244119072*(8350/2783.333)</f>
        <v>0.52167979483383842</v>
      </c>
      <c r="K159" s="2">
        <f>0.230987002962743*(8350/2783.333)</f>
        <v>0.69296109187758037</v>
      </c>
      <c r="L159" s="2">
        <f>0.22258879432151*(8350/2783.333)</f>
        <v>0.6677664629365605</v>
      </c>
      <c r="M159" s="2">
        <f>0.416762809729734*(8350/2783.333)</f>
        <v>1.2502885789243612</v>
      </c>
      <c r="N159" s="2">
        <f>0.239155707231184*(8350/2783.333)</f>
        <v>0.7174672076177685</v>
      </c>
      <c r="O159" s="2">
        <f>0.114553481787723*(8350/2783.333)</f>
        <v>0.34366048652011261</v>
      </c>
      <c r="P159" s="2">
        <f>0.260365044060328*(8350/2783.333)</f>
        <v>0.78109522572532142</v>
      </c>
      <c r="Q159" s="2">
        <f>0.00188664096844719*(8350/2783.333)</f>
        <v>5.6599235831767411E-3</v>
      </c>
      <c r="R159" s="2">
        <f>0.0130263944675939*(8350/2783.333)</f>
        <v>3.9079188082924043E-2</v>
      </c>
      <c r="S159" s="2">
        <f>0.00600918412308003*(8350/2783.333)</f>
        <v>1.8027554528228663E-2</v>
      </c>
      <c r="T159" s="2">
        <f t="shared" si="32"/>
        <v>0.10069243236843764</v>
      </c>
      <c r="U159" s="2">
        <f t="shared" si="33"/>
        <v>0.11437794326585224</v>
      </c>
      <c r="V159" s="2">
        <f t="shared" si="34"/>
        <v>0.11043877033537902</v>
      </c>
      <c r="W159" s="2">
        <f t="shared" si="35"/>
        <v>0.10705744606724045</v>
      </c>
      <c r="X159" s="2">
        <f t="shared" si="36"/>
        <v>0.11728533803050227</v>
      </c>
      <c r="Y159" s="2">
        <f t="shared" si="37"/>
        <v>0.10928020503416074</v>
      </c>
      <c r="Z159" s="2">
        <f t="shared" si="38"/>
        <v>0.10579568013572224</v>
      </c>
      <c r="AA159" s="2">
        <f t="shared" si="39"/>
        <v>0.11798772791544039</v>
      </c>
      <c r="AB159" s="2">
        <f t="shared" si="40"/>
        <v>0.10026757173055721</v>
      </c>
      <c r="AC159" s="2">
        <f t="shared" si="41"/>
        <v>0.1151901624778385</v>
      </c>
      <c r="AD159" s="2">
        <f t="shared" si="42"/>
        <v>0.10227444344259566</v>
      </c>
      <c r="AE159" s="2">
        <f t="shared" si="43"/>
        <v>0.10987695088187602</v>
      </c>
      <c r="AF159" s="2">
        <f t="shared" si="44"/>
        <v>0.11908712371493149</v>
      </c>
      <c r="AG159" s="2">
        <f t="shared" si="45"/>
        <v>9.9235315312320327E-2</v>
      </c>
      <c r="AH159" s="2">
        <f t="shared" si="46"/>
        <v>0.1199891551819615</v>
      </c>
      <c r="AI159" s="2">
        <f t="shared" si="47"/>
        <v>0.10099811712417744</v>
      </c>
      <c r="AJ159" s="2">
        <f>0*(8350/2783.333)</f>
        <v>0</v>
      </c>
      <c r="AK159" s="2">
        <f>0.0134899015411442*(8350/2783.333)</f>
        <v>4.0469709470104538E-2</v>
      </c>
      <c r="AL159" s="2">
        <f>0.00431147271131463*(8350/2783.333)</f>
        <v>1.2934419682976178E-2</v>
      </c>
      <c r="AM159" s="2">
        <f>0.00198295068370339*(8350/2783.333)</f>
        <v>5.9488527635476202E-3</v>
      </c>
      <c r="AN159" s="2">
        <f>0.0012422199491682*(8350/2783.333)</f>
        <v>3.7266602938112216E-3</v>
      </c>
      <c r="AO159" s="2">
        <f>0*(8350/2783.333)</f>
        <v>0</v>
      </c>
      <c r="AP159" s="2">
        <f>0.016158794415044*(8350/2783.333)</f>
        <v>4.8476389050687699E-2</v>
      </c>
      <c r="AQ159" s="2">
        <f>0.0755499788205802*(8350/2783.333)</f>
        <v>0.22664996360544884</v>
      </c>
      <c r="AR159" s="2">
        <f>0.163176738824379*(8350/2783.333)</f>
        <v>0.48953027509951874</v>
      </c>
      <c r="AS159" s="2">
        <f>0.269312026581698*(8350/2783.333)</f>
        <v>0.80793617650391825</v>
      </c>
      <c r="AT159" s="2">
        <f>0.186903319487297*(8350/2783.333)</f>
        <v>0.56071002561279348</v>
      </c>
      <c r="AU159" s="2">
        <f>0.174322310145198*(8350/2783.333)</f>
        <v>0.52296699306637251</v>
      </c>
      <c r="AV159" s="2">
        <f>0.102076153479567*(8350/2783.333)</f>
        <v>0.3062284971127725</v>
      </c>
      <c r="AW159" s="2">
        <f>0.0927938434372935*(8350/2783.333)</f>
        <v>0.27838156365099004</v>
      </c>
    </row>
    <row r="160" spans="1:49" x14ac:dyDescent="0.25">
      <c r="A160" s="5">
        <v>45782</v>
      </c>
      <c r="B160" s="2">
        <f>0.26943586666284*(8350/2783.333)</f>
        <v>0.80830769679183834</v>
      </c>
      <c r="C160" s="2">
        <f>0.273448489496633*(8350/2783.333)</f>
        <v>0.82034556673487802</v>
      </c>
      <c r="D160" s="2">
        <f>0.201474452720688*(8350/2783.333)</f>
        <v>0.60442343054810233</v>
      </c>
      <c r="E160" s="2">
        <f>0.211721949590063*(8350/2783.333)</f>
        <v>0.63516592483796586</v>
      </c>
      <c r="F160" s="2">
        <f>0.182008688051206*(8350/2783.333)</f>
        <v>0.54602612954596741</v>
      </c>
      <c r="G160" s="2">
        <f>0.210841456406627*(8350/2783.333)</f>
        <v>0.63252444497131211</v>
      </c>
      <c r="H160" s="2">
        <f>0.21678398072099*(8350/2783.333)</f>
        <v>0.65035202004943826</v>
      </c>
      <c r="I160" s="2">
        <f>0.203636381892691*(8350/2783.333)</f>
        <v>0.6109092188408537</v>
      </c>
      <c r="J160" s="2">
        <f>0.162405991090705*(8350/2783.333)</f>
        <v>0.48721803162158045</v>
      </c>
      <c r="K160" s="2">
        <f>0.219987621869279*(8350/2783.333)</f>
        <v>0.65996294464531413</v>
      </c>
      <c r="L160" s="2">
        <f>0.227997493996612*(8350/2783.333)</f>
        <v>0.68399256390511243</v>
      </c>
      <c r="M160" s="2">
        <f>0.23393345873836*(8350/2783.333)</f>
        <v>0.70180046026303988</v>
      </c>
      <c r="N160" s="2">
        <f>0.161538451342315*(8350/2783.333)</f>
        <v>0.48461541206471975</v>
      </c>
      <c r="O160" s="2">
        <f>0.0435678815979536*(8350/2783.333)</f>
        <v>0.13070366044699377</v>
      </c>
      <c r="P160" s="2">
        <f>0.0137941745197525*(8350/2783.333)</f>
        <v>4.1382528515248818E-2</v>
      </c>
      <c r="Q160" s="2">
        <f>0.0693340555904344*(8350/2783.333)</f>
        <v>0.20800219168174527</v>
      </c>
      <c r="R160" s="2">
        <f>0.114632271314827*(8350/2783.333)</f>
        <v>0.34389685512973162</v>
      </c>
      <c r="S160" s="2">
        <f>0.029429594038674*(8350/2783.333)</f>
        <v>8.8288792689530105E-2</v>
      </c>
      <c r="T160" s="2">
        <f t="shared" si="32"/>
        <v>0.10069243236843764</v>
      </c>
      <c r="U160" s="2">
        <f t="shared" si="33"/>
        <v>0.11437794326585224</v>
      </c>
      <c r="V160" s="2">
        <f t="shared" si="34"/>
        <v>0.11043877033537902</v>
      </c>
      <c r="W160" s="2">
        <f t="shared" si="35"/>
        <v>0.10705744606724045</v>
      </c>
      <c r="X160" s="2">
        <f t="shared" si="36"/>
        <v>0.11728533803050227</v>
      </c>
      <c r="Y160" s="2">
        <f t="shared" si="37"/>
        <v>0.10928020503416074</v>
      </c>
      <c r="Z160" s="2">
        <f t="shared" si="38"/>
        <v>0.10579568013572224</v>
      </c>
      <c r="AA160" s="2">
        <f t="shared" si="39"/>
        <v>0.11798772791544039</v>
      </c>
      <c r="AB160" s="2">
        <f t="shared" si="40"/>
        <v>0.10026757173055721</v>
      </c>
      <c r="AC160" s="2">
        <f t="shared" si="41"/>
        <v>0.1151901624778385</v>
      </c>
      <c r="AD160" s="2">
        <f t="shared" si="42"/>
        <v>0.10227444344259566</v>
      </c>
      <c r="AE160" s="2">
        <f t="shared" si="43"/>
        <v>0.10987695088187602</v>
      </c>
      <c r="AF160" s="2">
        <f t="shared" si="44"/>
        <v>0.11908712371493149</v>
      </c>
      <c r="AG160" s="2">
        <f t="shared" si="45"/>
        <v>9.9235315312320327E-2</v>
      </c>
      <c r="AH160" s="2">
        <f t="shared" si="46"/>
        <v>0.1199891551819615</v>
      </c>
      <c r="AI160" s="2">
        <f t="shared" si="47"/>
        <v>0.10099811712417744</v>
      </c>
      <c r="AJ160" s="2">
        <f>0.00363843761173388*(8350/2783.333)</f>
        <v>1.0915314142424902E-2</v>
      </c>
      <c r="AK160" s="2">
        <f>0.000299775589803206*(8350/2783.333)</f>
        <v>8.9932687711343439E-4</v>
      </c>
      <c r="AL160" s="2">
        <f>0*(8350/2783.333)</f>
        <v>0</v>
      </c>
      <c r="AM160" s="2">
        <f>0*(8350/2783.333)</f>
        <v>0</v>
      </c>
      <c r="AN160" s="2">
        <f>0.0599371125473656*(8350/2783.333)</f>
        <v>0.17981135917639146</v>
      </c>
      <c r="AO160" s="2">
        <f>0.218039283153613*(8350/2783.333)</f>
        <v>0.65411792779831479</v>
      </c>
      <c r="AP160" s="2">
        <f>0.0661344472450772*(8350/2783.333)</f>
        <v>0.1984033654961137</v>
      </c>
      <c r="AQ160" s="2">
        <f>0.275435573009559*(8350/2783.333)</f>
        <v>0.82630681798757788</v>
      </c>
      <c r="AR160" s="2">
        <f>0.202215017682264*(8350/2783.333)</f>
        <v>0.60664512569890339</v>
      </c>
      <c r="AS160" s="2">
        <f>0.208696722688384*(8350/2783.333)</f>
        <v>0.6260902430460209</v>
      </c>
      <c r="AT160" s="2">
        <f>0.218217823015432*(8350/2783.333)</f>
        <v>0.6546535474479197</v>
      </c>
      <c r="AU160" s="2">
        <f>0.123899872196444*(8350/2783.333)</f>
        <v>0.37169966110426295</v>
      </c>
      <c r="AV160" s="2">
        <f>0.110750303092398*(8350/2783.333)</f>
        <v>0.3322509490677274</v>
      </c>
      <c r="AW160" s="2">
        <f>0.104295927883457*(8350/2783.333)</f>
        <v>0.31288782112196695</v>
      </c>
    </row>
    <row r="161" spans="1:49" x14ac:dyDescent="0.25">
      <c r="A161" s="5">
        <v>45783</v>
      </c>
      <c r="B161" s="2">
        <f>0.333876333906293*(8350/2783.333)</f>
        <v>1.0016291216744615</v>
      </c>
      <c r="C161" s="2">
        <f>0.314297560862563*(8350/2783.333)</f>
        <v>0.94289279550898097</v>
      </c>
      <c r="D161" s="2">
        <f>0.198735965013804*(8350/2783.333)</f>
        <v>0.59620796644356489</v>
      </c>
      <c r="E161" s="2">
        <f>0.219597820800197*(8350/2783.333)</f>
        <v>0.65879354129802103</v>
      </c>
      <c r="F161" s="2">
        <f>0.312851843624497*(8350/2783.333)</f>
        <v>0.93855564327536467</v>
      </c>
      <c r="G161" s="2">
        <f>0.445372964094898*(8350/2783.333)</f>
        <v>1.3361190522989512</v>
      </c>
      <c r="H161" s="2">
        <f>0.251641316828109*(8350/2783.333)</f>
        <v>0.75492404089439269</v>
      </c>
      <c r="I161" s="2">
        <f>0.223673829081217*(8350/2783.333)</f>
        <v>0.67102156760551424</v>
      </c>
      <c r="J161" s="2">
        <f>0.186568833667615*(8350/2783.333)</f>
        <v>0.55970656803357177</v>
      </c>
      <c r="K161" s="2">
        <f>0.245652844420694*(8350/2783.333)</f>
        <v>0.73695862152060099</v>
      </c>
      <c r="L161" s="2">
        <f>0.247968077412373*(8350/2783.333)</f>
        <v>0.74390432132745776</v>
      </c>
      <c r="M161" s="2">
        <f>0.247150038328098*(8350/2783.333)</f>
        <v>0.7414502037807259</v>
      </c>
      <c r="N161" s="2">
        <f>0.441669765743257*(8350/2783.333)</f>
        <v>1.325009455913539</v>
      </c>
      <c r="O161" s="2">
        <f>0.104788266946802*(8350/2783.333)</f>
        <v>0.31436483848888996</v>
      </c>
      <c r="P161" s="2">
        <f>0.128458250215195*(8350/2783.333)</f>
        <v>0.38537479679825504</v>
      </c>
      <c r="Q161" s="2">
        <f>0.0877288050327945*(8350/2783.333)</f>
        <v>0.26318644661771851</v>
      </c>
      <c r="R161" s="2">
        <f>0.12579775228705*(8350/2783.333)</f>
        <v>0.37739330205795207</v>
      </c>
      <c r="S161" s="2">
        <f>0.0187979605901478*(8350/2783.333)</f>
        <v>5.6393888524202476E-2</v>
      </c>
      <c r="T161" s="2">
        <f t="shared" si="32"/>
        <v>0.10069243236843764</v>
      </c>
      <c r="U161" s="2">
        <f t="shared" si="33"/>
        <v>0.11437794326585224</v>
      </c>
      <c r="V161" s="2">
        <f t="shared" si="34"/>
        <v>0.11043877033537902</v>
      </c>
      <c r="W161" s="2">
        <f t="shared" si="35"/>
        <v>0.10705744606724045</v>
      </c>
      <c r="X161" s="2">
        <f t="shared" si="36"/>
        <v>0.11728533803050227</v>
      </c>
      <c r="Y161" s="2">
        <f t="shared" si="37"/>
        <v>0.10928020503416074</v>
      </c>
      <c r="Z161" s="2">
        <f t="shared" si="38"/>
        <v>0.10579568013572224</v>
      </c>
      <c r="AA161" s="2">
        <f t="shared" si="39"/>
        <v>0.11798772791544039</v>
      </c>
      <c r="AB161" s="2">
        <f t="shared" si="40"/>
        <v>0.10026757173055721</v>
      </c>
      <c r="AC161" s="2">
        <f t="shared" si="41"/>
        <v>0.1151901624778385</v>
      </c>
      <c r="AD161" s="2">
        <f t="shared" si="42"/>
        <v>0.10227444344259566</v>
      </c>
      <c r="AE161" s="2">
        <f t="shared" si="43"/>
        <v>0.10987695088187602</v>
      </c>
      <c r="AF161" s="2">
        <f t="shared" si="44"/>
        <v>0.11908712371493149</v>
      </c>
      <c r="AG161" s="2">
        <f t="shared" si="45"/>
        <v>9.9235315312320327E-2</v>
      </c>
      <c r="AH161" s="2">
        <f t="shared" si="46"/>
        <v>0.1199891551819615</v>
      </c>
      <c r="AI161" s="2">
        <f t="shared" si="47"/>
        <v>0.10099811712417744</v>
      </c>
      <c r="AJ161" s="2">
        <f>0*(8350/2783.333)</f>
        <v>0</v>
      </c>
      <c r="AK161" s="2">
        <f>0*(8350/2783.333)</f>
        <v>0</v>
      </c>
      <c r="AL161" s="2">
        <f>0.0181081853875214*(8350/2783.333)</f>
        <v>5.4324562668499943E-2</v>
      </c>
      <c r="AM161" s="2">
        <f>0.0512262259956709*(8350/2783.333)</f>
        <v>0.15367869639164697</v>
      </c>
      <c r="AN161" s="2">
        <f>0*(8350/2783.333)</f>
        <v>0</v>
      </c>
      <c r="AO161" s="2">
        <f>0.000298479511503919*(8350/2783.333)</f>
        <v>8.9543864174991767E-4</v>
      </c>
      <c r="AP161" s="2">
        <f>0.0441451599998626*(8350/2783.333)</f>
        <v>0.13243549586012629</v>
      </c>
      <c r="AQ161" s="2">
        <f>0.0736866385357677*(8350/2783.333)</f>
        <v>0.22105994208154764</v>
      </c>
      <c r="AR161" s="2">
        <f>0.105354350892617*(8350/2783.333)</f>
        <v>0.31606309052971931</v>
      </c>
      <c r="AS161" s="2">
        <f>0.113995359311298*(8350/2783.333)</f>
        <v>0.34198611889031511</v>
      </c>
      <c r="AT161" s="2">
        <f>0.112141991692378*(8350/2783.333)</f>
        <v>0.33642601536767625</v>
      </c>
      <c r="AU161" s="2">
        <f>0.115274981494684*(8350/2783.333)</f>
        <v>0.34582498590021798</v>
      </c>
      <c r="AV161" s="2">
        <f>0.109201347804393*(8350/2783.333)</f>
        <v>0.32760408264719965</v>
      </c>
      <c r="AW161" s="2">
        <f>0.11097957154812*(8350/2783.333)</f>
        <v>0.3329387545172644</v>
      </c>
    </row>
    <row r="162" spans="1:49" x14ac:dyDescent="0.25">
      <c r="A162" s="5">
        <v>45784</v>
      </c>
      <c r="B162" s="2">
        <f>0.303523939914812*(8350/2783.333)</f>
        <v>0.91057192879496518</v>
      </c>
      <c r="C162" s="2">
        <f>0.271045602945696*(8350/2783.333)</f>
        <v>0.81313690621875367</v>
      </c>
      <c r="D162" s="2">
        <f>0.201474452720688*(8350/2783.333)</f>
        <v>0.60442343054810233</v>
      </c>
      <c r="E162" s="2">
        <f>0.180681751291301*(8350/2783.333)</f>
        <v>0.54204531878951123</v>
      </c>
      <c r="F162" s="2">
        <f>0.177712345629396*(8350/2783.333)</f>
        <v>0.53313710073694254</v>
      </c>
      <c r="G162" s="2">
        <f>0.213210461534792*(8350/2783.333)</f>
        <v>0.63963146120694492</v>
      </c>
      <c r="H162" s="2">
        <f>0.21917146949545*(8350/2783.333)</f>
        <v>0.65751448723059991</v>
      </c>
      <c r="I162" s="2">
        <f>0.208296253331883*(8350/2783.333)</f>
        <v>0.62488883483263546</v>
      </c>
      <c r="J162" s="2">
        <f>0.183796048453871*(8350/2783.333)</f>
        <v>0.55138821139612992</v>
      </c>
      <c r="K162" s="2">
        <f>0.237272363587579*(8350/2783.333)</f>
        <v>0.71181717601030359</v>
      </c>
      <c r="L162" s="2">
        <f>0.246303862127727*(8350/2783.333)</f>
        <v>0.73891167487559573</v>
      </c>
      <c r="M162" s="2">
        <f>0.28988364566825*(8350/2783.333)</f>
        <v>0.8696510411545767</v>
      </c>
      <c r="N162" s="2">
        <f>0.127654776182708*(8350/2783.333)</f>
        <v>0.38296437441212006</v>
      </c>
      <c r="O162" s="2">
        <f>0.0330514963846544*(8350/2783.333)</f>
        <v>9.9154501028753866E-2</v>
      </c>
      <c r="P162" s="2">
        <f>0.303471839434554*(8350/2783.333)</f>
        <v>0.91041562733547421</v>
      </c>
      <c r="Q162" s="2">
        <f>0.0806539014011176*(8350/2783.333)</f>
        <v>0.24196173318080574</v>
      </c>
      <c r="R162" s="2">
        <f>0.0882072996805646*(8350/2783.333)</f>
        <v>0.26462193073294282</v>
      </c>
      <c r="S162" s="2">
        <f>0.0109397967368893*(8350/2783.333)</f>
        <v>3.2819394141134203E-2</v>
      </c>
      <c r="T162" s="2">
        <f t="shared" si="32"/>
        <v>0.10069243236843764</v>
      </c>
      <c r="U162" s="2">
        <f t="shared" si="33"/>
        <v>0.11437794326585224</v>
      </c>
      <c r="V162" s="2">
        <f t="shared" si="34"/>
        <v>0.11043877033537902</v>
      </c>
      <c r="W162" s="2">
        <f t="shared" si="35"/>
        <v>0.10705744606724045</v>
      </c>
      <c r="X162" s="2">
        <f t="shared" si="36"/>
        <v>0.11728533803050227</v>
      </c>
      <c r="Y162" s="2">
        <f t="shared" si="37"/>
        <v>0.10928020503416074</v>
      </c>
      <c r="Z162" s="2">
        <f t="shared" si="38"/>
        <v>0.10579568013572224</v>
      </c>
      <c r="AA162" s="2">
        <f t="shared" si="39"/>
        <v>0.11798772791544039</v>
      </c>
      <c r="AB162" s="2">
        <f t="shared" si="40"/>
        <v>0.10026757173055721</v>
      </c>
      <c r="AC162" s="2">
        <f t="shared" si="41"/>
        <v>0.1151901624778385</v>
      </c>
      <c r="AD162" s="2">
        <f t="shared" si="42"/>
        <v>0.10227444344259566</v>
      </c>
      <c r="AE162" s="2">
        <f t="shared" si="43"/>
        <v>0.10987695088187602</v>
      </c>
      <c r="AF162" s="2">
        <f t="shared" si="44"/>
        <v>0.11908712371493149</v>
      </c>
      <c r="AG162" s="2">
        <f t="shared" si="45"/>
        <v>9.9235315312320327E-2</v>
      </c>
      <c r="AH162" s="2">
        <f t="shared" si="46"/>
        <v>0.1199891551819615</v>
      </c>
      <c r="AI162" s="2">
        <f t="shared" si="47"/>
        <v>0.10099811712417744</v>
      </c>
      <c r="AJ162" s="2">
        <f>0*(8350/2783.333)</f>
        <v>0</v>
      </c>
      <c r="AK162" s="2">
        <f>0.000899326769409617*(8350/2783.333)</f>
        <v>2.6979806313403038E-3</v>
      </c>
      <c r="AL162" s="2">
        <f>0.000287431514087642*(8350/2783.333)</f>
        <v>8.6229464553174557E-4</v>
      </c>
      <c r="AM162" s="2">
        <f>0.000991475341851695*(8350/2783.333)</f>
        <v>2.9744263817738123E-3</v>
      </c>
      <c r="AN162" s="2">
        <f>0.0086955396441774*(8350/2783.333)</f>
        <v>2.6086622056678558E-2</v>
      </c>
      <c r="AO162" s="2">
        <f>0*(8350/2783.333)</f>
        <v>0</v>
      </c>
      <c r="AP162" s="2">
        <f>0.0639688356224424*(8350/2783.333)</f>
        <v>0.19190652985014525</v>
      </c>
      <c r="AQ162" s="2">
        <f>0.182607347911627*(8350/2783.333)</f>
        <v>0.54782210934231812</v>
      </c>
      <c r="AR162" s="2">
        <f>0.225572648965434*(8350/2783.333)</f>
        <v>0.67671802794037628</v>
      </c>
      <c r="AS162" s="2">
        <f>0.190206643251432*(8350/2783.333)</f>
        <v>0.57061999809202091</v>
      </c>
      <c r="AT162" s="2">
        <f>0.168212987538568*(8350/2783.333)</f>
        <v>0.50463902305151387</v>
      </c>
      <c r="AU162" s="2">
        <f>0.106484227510197*(8350/2783.333)</f>
        <v>0.31945272078840276</v>
      </c>
      <c r="AV162" s="2">
        <f>0.0994429294899576*(8350/2783.333)</f>
        <v>0.29832882419787565</v>
      </c>
      <c r="AW162" s="2">
        <f>0.0938818784524712*(8350/2783.333)</f>
        <v>0.28164566908743383</v>
      </c>
    </row>
    <row r="163" spans="1:49" x14ac:dyDescent="0.25">
      <c r="A163" s="5">
        <v>45785</v>
      </c>
      <c r="B163" s="2">
        <f>0.261497548234299*(8350/2783.333)</f>
        <v>0.78449273865412417</v>
      </c>
      <c r="C163" s="2">
        <f>0.276331953357758*(8350/2783.333)</f>
        <v>0.82899595935422621</v>
      </c>
      <c r="D163" s="2">
        <f>0.190520501893155*(8350/2783.333)</f>
        <v>0.57156157412995257</v>
      </c>
      <c r="E163" s="2">
        <f>0.210795376506518*(8350/2783.333)</f>
        <v>0.63238620525443001</v>
      </c>
      <c r="F163" s="2">
        <f>0.180055805132201*(8350/2783.333)</f>
        <v>0.54016748008731974</v>
      </c>
      <c r="G163" s="2">
        <f>0.238321915893334*(8350/2783.333)</f>
        <v>0.71496583330465202</v>
      </c>
      <c r="H163" s="2">
        <f>0.217738976230774*(8350/2783.333)</f>
        <v>0.65321700692190299</v>
      </c>
      <c r="I163" s="2">
        <f>0.18639485756768*(8350/2783.333)</f>
        <v>0.55918463967126153</v>
      </c>
      <c r="J163" s="2">
        <f>0.188945506707967*(8350/2783.333)</f>
        <v>0.56683658800852199</v>
      </c>
      <c r="K163" s="2">
        <f>0.244081504264485*(8350/2783.333)</f>
        <v>0.73224460048742057</v>
      </c>
      <c r="L163" s="2">
        <f>0.245887808306565*(8350/2783.333)</f>
        <v>0.73766351326263002</v>
      </c>
      <c r="M163" s="2">
        <f>0.308386857093883*(8350/2783.333)</f>
        <v>0.92516068207933666</v>
      </c>
      <c r="N163" s="2">
        <f>0.399906166127927*(8350/2783.333)</f>
        <v>1.19971864206266</v>
      </c>
      <c r="O163" s="2">
        <f>0.102159170643477*(8350/2783.333)</f>
        <v>0.30647754863432997</v>
      </c>
      <c r="P163" s="2">
        <f>0.0465553390041646*(8350/2783.333)</f>
        <v>0.13966603373896486</v>
      </c>
      <c r="Q163" s="2">
        <f>0*(8350/2783.333)</f>
        <v>0</v>
      </c>
      <c r="R163" s="2">
        <f>0.00186091349537056*(8350/2783.333)</f>
        <v>5.5827411547034345E-3</v>
      </c>
      <c r="S163" s="2">
        <f>0.0109397967368893*(8350/2783.333)</f>
        <v>3.2819394141134203E-2</v>
      </c>
      <c r="T163" s="2">
        <f t="shared" si="32"/>
        <v>0.10069243236843764</v>
      </c>
      <c r="U163" s="2">
        <f t="shared" si="33"/>
        <v>0.11437794326585224</v>
      </c>
      <c r="V163" s="2">
        <f t="shared" si="34"/>
        <v>0.11043877033537902</v>
      </c>
      <c r="W163" s="2">
        <f t="shared" si="35"/>
        <v>0.10705744606724045</v>
      </c>
      <c r="X163" s="2">
        <f t="shared" si="36"/>
        <v>0.11728533803050227</v>
      </c>
      <c r="Y163" s="2">
        <f t="shared" si="37"/>
        <v>0.10928020503416074</v>
      </c>
      <c r="Z163" s="2">
        <f t="shared" si="38"/>
        <v>0.10579568013572224</v>
      </c>
      <c r="AA163" s="2">
        <f t="shared" si="39"/>
        <v>0.11798772791544039</v>
      </c>
      <c r="AB163" s="2">
        <f t="shared" si="40"/>
        <v>0.10026757173055721</v>
      </c>
      <c r="AC163" s="2">
        <f t="shared" si="41"/>
        <v>0.1151901624778385</v>
      </c>
      <c r="AD163" s="2">
        <f t="shared" si="42"/>
        <v>0.10227444344259566</v>
      </c>
      <c r="AE163" s="2">
        <f t="shared" si="43"/>
        <v>0.10987695088187602</v>
      </c>
      <c r="AF163" s="2">
        <f t="shared" si="44"/>
        <v>0.11908712371493149</v>
      </c>
      <c r="AG163" s="2">
        <f t="shared" si="45"/>
        <v>9.9235315312320327E-2</v>
      </c>
      <c r="AH163" s="2">
        <f t="shared" si="46"/>
        <v>0.1199891551819615</v>
      </c>
      <c r="AI163" s="2">
        <f t="shared" si="47"/>
        <v>0.10099811712417744</v>
      </c>
      <c r="AJ163" s="2">
        <f>0.000151601567155579*(8350/2783.333)</f>
        <v>4.5480475593437099E-4</v>
      </c>
      <c r="AK163" s="2">
        <f>0.00149887794901603*(8350/2783.333)</f>
        <v>4.4966343855671713E-3</v>
      </c>
      <c r="AL163" s="2">
        <f>0*(8350/2783.333)</f>
        <v>0</v>
      </c>
      <c r="AM163" s="2">
        <f>0.0264393424493785*(8350/2783.333)</f>
        <v>7.9318036847301654E-2</v>
      </c>
      <c r="AN163" s="2">
        <f>0.119253115120147*(8350/2783.333)</f>
        <v>0.35775938820587733</v>
      </c>
      <c r="AO163" s="2">
        <f>0.0379068979609977*(8350/2783.333)</f>
        <v>0.1137207075022395</v>
      </c>
      <c r="AP163" s="2">
        <f>0.108780337660039*(8350/2783.333)</f>
        <v>0.32634105206287717</v>
      </c>
      <c r="AQ163" s="2">
        <f>0.0763969516773132*(8350/2783.333)</f>
        <v>0.22919088247994937</v>
      </c>
      <c r="AR163" s="2">
        <f>0.11842155720488*(8350/2783.333)</f>
        <v>0.35526471416131233</v>
      </c>
      <c r="AS163" s="2">
        <f>0.131359955652088*(8350/2783.333)</f>
        <v>0.39407991415146304</v>
      </c>
      <c r="AT163" s="2">
        <f>0.17247569482512*(8350/2783.333)</f>
        <v>0.51742714644268317</v>
      </c>
      <c r="AU163" s="2">
        <f>0.140817927034513*(8350/2783.333)</f>
        <v>0.42245383169681311</v>
      </c>
      <c r="AV163" s="2">
        <f>0.129337766548465*(8350/2783.333)</f>
        <v>0.38801334611405919</v>
      </c>
      <c r="AW163" s="2">
        <f>0.107404599355393*(8350/2783.333)</f>
        <v>0.32221383665466335</v>
      </c>
    </row>
    <row r="164" spans="1:49" x14ac:dyDescent="0.25">
      <c r="A164" s="5">
        <v>45786</v>
      </c>
      <c r="B164" s="2">
        <f>0.232079074057941*(8350/2783.333)</f>
        <v>0.69623730555553498</v>
      </c>
      <c r="C164" s="2">
        <f>0.24990020129745*(8350/2783.333)</f>
        <v>0.74970069367686532</v>
      </c>
      <c r="D164" s="2">
        <f>0.1901292893636*(8350/2783.333)</f>
        <v>0.57038793640073338</v>
      </c>
      <c r="E164" s="2">
        <f>0.206162511088793*(8350/2783.333)</f>
        <v>0.61848760733675023</v>
      </c>
      <c r="F164" s="2">
        <f>0.174587732958989*(8350/2783.333)</f>
        <v>0.52376326160310638</v>
      </c>
      <c r="G164" s="2">
        <f>0.215105665637323*(8350/2783.333)</f>
        <v>0.64531707419545126</v>
      </c>
      <c r="H164" s="2">
        <f>0.215351487456314*(8350/2783.333)</f>
        <v>0.64605453974074223</v>
      </c>
      <c r="I164" s="2">
        <f>0.209228227619721*(8350/2783.333)</f>
        <v>0.62768475803099122</v>
      </c>
      <c r="J164" s="2">
        <f>0.173893244119072*(8350/2783.333)</f>
        <v>0.52167979483383842</v>
      </c>
      <c r="K164" s="2">
        <f>0.232558343118952*(8350/2783.333)</f>
        <v>0.69767511291076112</v>
      </c>
      <c r="L164" s="2">
        <f>0.215931933182922*(8350/2783.333)</f>
        <v>0.64779587712911169</v>
      </c>
      <c r="M164" s="2">
        <f>0.200892009764015*(8350/2783.333)</f>
        <v>0.60267610146882478</v>
      </c>
      <c r="N164" s="2">
        <f>0.0969230708053892*(8350/2783.333)</f>
        <v>0.29076924723883196</v>
      </c>
      <c r="O164" s="2">
        <f>0.0446946371565213*(8350/2783.333)</f>
        <v>0.13408392752751941</v>
      </c>
      <c r="P164" s="2">
        <f>0.337957275733936*(8350/2783.333)</f>
        <v>1.0138719486235968</v>
      </c>
      <c r="Q164" s="2">
        <f>0.397609584100246*(8350/2783.333)</f>
        <v>1.1928288951544983</v>
      </c>
      <c r="R164" s="2">
        <f>0.0885794823796387*(8350/2783.333)</f>
        <v>0.26573847896388353</v>
      </c>
      <c r="S164" s="2">
        <f>0.074575515783865*(8350/2783.333)</f>
        <v>0.22372657414519673</v>
      </c>
      <c r="T164" s="2">
        <f t="shared" si="32"/>
        <v>0.10069243236843764</v>
      </c>
      <c r="U164" s="2">
        <f t="shared" si="33"/>
        <v>0.11437794326585224</v>
      </c>
      <c r="V164" s="2">
        <f t="shared" si="34"/>
        <v>0.11043877033537902</v>
      </c>
      <c r="W164" s="2">
        <f t="shared" si="35"/>
        <v>0.10705744606724045</v>
      </c>
      <c r="X164" s="2">
        <f t="shared" si="36"/>
        <v>0.11728533803050227</v>
      </c>
      <c r="Y164" s="2">
        <f t="shared" si="37"/>
        <v>0.10928020503416074</v>
      </c>
      <c r="Z164" s="2">
        <f t="shared" si="38"/>
        <v>0.10579568013572224</v>
      </c>
      <c r="AA164" s="2">
        <f t="shared" si="39"/>
        <v>0.11798772791544039</v>
      </c>
      <c r="AB164" s="2">
        <f t="shared" si="40"/>
        <v>0.10026757173055721</v>
      </c>
      <c r="AC164" s="2">
        <f t="shared" si="41"/>
        <v>0.1151901624778385</v>
      </c>
      <c r="AD164" s="2">
        <f t="shared" si="42"/>
        <v>0.10227444344259566</v>
      </c>
      <c r="AE164" s="2">
        <f t="shared" si="43"/>
        <v>0.10987695088187602</v>
      </c>
      <c r="AF164" s="2">
        <f t="shared" si="44"/>
        <v>0.11908712371493149</v>
      </c>
      <c r="AG164" s="2">
        <f t="shared" si="45"/>
        <v>9.9235315312320327E-2</v>
      </c>
      <c r="AH164" s="2">
        <f t="shared" si="46"/>
        <v>0.1199891551819615</v>
      </c>
      <c r="AI164" s="2">
        <f t="shared" si="47"/>
        <v>0.10099811712417744</v>
      </c>
      <c r="AJ164" s="2">
        <f>0*(8350/2783.333)</f>
        <v>0</v>
      </c>
      <c r="AK164" s="2">
        <f>0.000299775589803206*(8350/2783.333)</f>
        <v>8.9932687711343439E-4</v>
      </c>
      <c r="AL164" s="2">
        <f>0*(8350/2783.333)</f>
        <v>0</v>
      </c>
      <c r="AM164" s="2">
        <f>0.0978255670627006*(8350/2783.333)</f>
        <v>0.2934767363350162</v>
      </c>
      <c r="AN164" s="2">
        <f>0.0388193734115063*(8350/2783.333)</f>
        <v>0.11645813418160071</v>
      </c>
      <c r="AO164" s="2">
        <f>0.0767092344565071*(8350/2783.333)</f>
        <v>0.23012773092972871</v>
      </c>
      <c r="AP164" s="2">
        <f>0.0278197800753851*(8350/2783.333)</f>
        <v>8.3459350221287129E-2</v>
      </c>
      <c r="AQ164" s="2">
        <f>0.0860524422440689*(8350/2783.333)</f>
        <v>0.25815735764925563</v>
      </c>
      <c r="AR164" s="2">
        <f>0.140472467856823*(8350/2783.333)</f>
        <v>0.42141745403962583</v>
      </c>
      <c r="AS164" s="2">
        <f>0.214484921468648*(8350/2783.333)</f>
        <v>0.64345484146640375</v>
      </c>
      <c r="AT164" s="2">
        <f>0.25297528242886*(8350/2783.333)</f>
        <v>0.7589259381759127</v>
      </c>
      <c r="AU164" s="2">
        <f>0.204675290884087*(8350/2783.333)</f>
        <v>0.61402594618830098</v>
      </c>
      <c r="AV164" s="2">
        <f>0.146531170245327*(8350/2783.333)</f>
        <v>0.43959356338191646</v>
      </c>
      <c r="AW164" s="2">
        <f>0.11486541088804*(8350/2783.333)</f>
        <v>0.34459627393313486</v>
      </c>
    </row>
    <row r="165" spans="1:49" x14ac:dyDescent="0.25">
      <c r="A165" s="5">
        <v>45787</v>
      </c>
      <c r="B165" s="2">
        <f>0.272704586015769*(8350/2783.333)</f>
        <v>0.81811385602501452</v>
      </c>
      <c r="C165" s="2">
        <f>0.287865808802255*(8350/2783.333)</f>
        <v>0.86359752983161997</v>
      </c>
      <c r="D165" s="2">
        <f>0.205386578016235*(8350/2783.333)</f>
        <v>0.61615980784029778</v>
      </c>
      <c r="E165" s="2">
        <f>0.212185236131836*(8350/2783.333)</f>
        <v>0.63655578462973428</v>
      </c>
      <c r="F165" s="2">
        <f>0.154277750601344*(8350/2783.333)</f>
        <v>0.46283330723316968</v>
      </c>
      <c r="G165" s="2">
        <f>0.215579466662956*(8350/2783.333)</f>
        <v>0.64673847744257784</v>
      </c>
      <c r="H165" s="2">
        <f>0.218693971740558*(8350/2783.333)</f>
        <v>0.65608199379436782</v>
      </c>
      <c r="I165" s="2">
        <f>0.205966317612287*(8350/2783.333)</f>
        <v>0.61789902683674447</v>
      </c>
      <c r="J165" s="2">
        <f>0.181419375413519*(8350/2783.333)</f>
        <v>0.54425819142117993</v>
      </c>
      <c r="K165" s="2">
        <f>0.237796143639649*(8350/2783.333)</f>
        <v>0.7133885163546968</v>
      </c>
      <c r="L165" s="2">
        <f>0.245887808306565*(8350/2783.333)</f>
        <v>0.73766351326263002</v>
      </c>
      <c r="M165" s="2">
        <f>0.216751905271701*(8350/2783.333)</f>
        <v>0.65025579369004827</v>
      </c>
      <c r="N165" s="2">
        <f>0.136322693084003*(8350/2783.333)</f>
        <v>0.40896812823022699</v>
      </c>
      <c r="O165" s="2">
        <f>0.30272166006854*(8350/2783.333)</f>
        <v>0.90816508896790493</v>
      </c>
      <c r="P165" s="2">
        <f>0.0297436888082163*(8350/2783.333)</f>
        <v>8.923107711100535E-2</v>
      </c>
      <c r="Q165" s="2">
        <f>0.0565992290534158*(8350/2783.333)</f>
        <v>0.16979770749530226</v>
      </c>
      <c r="R165" s="2">
        <f>0.0684816166296366*(8350/2783.333)</f>
        <v>0.20544487449308643</v>
      </c>
      <c r="S165" s="2">
        <f>0.00554693919053541*(8350/2783.333)</f>
        <v>1.6640819564518763E-2</v>
      </c>
      <c r="T165" s="2">
        <f t="shared" si="32"/>
        <v>0.10069243236843764</v>
      </c>
      <c r="U165" s="2">
        <f t="shared" si="33"/>
        <v>0.11437794326585224</v>
      </c>
      <c r="V165" s="2">
        <f t="shared" si="34"/>
        <v>0.11043877033537902</v>
      </c>
      <c r="W165" s="2">
        <f t="shared" si="35"/>
        <v>0.10705744606724045</v>
      </c>
      <c r="X165" s="2">
        <f t="shared" si="36"/>
        <v>0.11728533803050227</v>
      </c>
      <c r="Y165" s="2">
        <f t="shared" si="37"/>
        <v>0.10928020503416074</v>
      </c>
      <c r="Z165" s="2">
        <f t="shared" si="38"/>
        <v>0.10579568013572224</v>
      </c>
      <c r="AA165" s="2">
        <f t="shared" si="39"/>
        <v>0.11798772791544039</v>
      </c>
      <c r="AB165" s="2">
        <f t="shared" si="40"/>
        <v>0.10026757173055721</v>
      </c>
      <c r="AC165" s="2">
        <f t="shared" si="41"/>
        <v>0.1151901624778385</v>
      </c>
      <c r="AD165" s="2">
        <f t="shared" si="42"/>
        <v>0.10227444344259566</v>
      </c>
      <c r="AE165" s="2">
        <f t="shared" si="43"/>
        <v>0.10987695088187602</v>
      </c>
      <c r="AF165" s="2">
        <f t="shared" si="44"/>
        <v>0.11908712371493149</v>
      </c>
      <c r="AG165" s="2">
        <f t="shared" si="45"/>
        <v>9.9235315312320327E-2</v>
      </c>
      <c r="AH165" s="2">
        <f t="shared" si="46"/>
        <v>0.1199891551819615</v>
      </c>
      <c r="AI165" s="2">
        <f t="shared" si="47"/>
        <v>0.10099811712417744</v>
      </c>
      <c r="AJ165" s="2">
        <f>0*(8350/2783.333)</f>
        <v>0</v>
      </c>
      <c r="AK165" s="2">
        <f>0.0503622990869386*(8350/2783.333)</f>
        <v>0.15108691535505703</v>
      </c>
      <c r="AL165" s="2">
        <f>0.0166710278170832*(8350/2783.333)</f>
        <v>5.0013089440841207E-2</v>
      </c>
      <c r="AM165" s="2">
        <f>0.0152026219083927*(8350/2783.333)</f>
        <v>4.5607871187198452E-2</v>
      </c>
      <c r="AN165" s="2">
        <f>0*(8350/2783.333)</f>
        <v>0</v>
      </c>
      <c r="AO165" s="2">
        <f>0*(8350/2783.333)</f>
        <v>0</v>
      </c>
      <c r="AP165" s="2">
        <f>0.0194905046037129*(8350/2783.333)</f>
        <v>5.84715208137161E-2</v>
      </c>
      <c r="AQ165" s="2">
        <f>0.0777521082480859*(8350/2783.333)</f>
        <v>0.23325635267915026</v>
      </c>
      <c r="AR165" s="2">
        <f>0.189311151448905*(8350/2783.333)</f>
        <v>0.56793352236270511</v>
      </c>
      <c r="AS165" s="2">
        <f>0.212233955276323*(8350/2783.333)</f>
        <v>0.63670194208069986</v>
      </c>
      <c r="AT165" s="2">
        <f>0.219857325817953*(8350/2783.333)</f>
        <v>0.65957205644452321</v>
      </c>
      <c r="AU165" s="2">
        <f>0.175317489841555*(8350/2783.333)</f>
        <v>0.52595253251299345</v>
      </c>
      <c r="AV165" s="2">
        <f>0.152262304810947*(8350/2783.333)</f>
        <v>0.45678696913786848</v>
      </c>
      <c r="AW165" s="2">
        <f>0.154190105008032*(8350/2783.333)</f>
        <v>0.46257037042174576</v>
      </c>
    </row>
    <row r="166" spans="1:49" x14ac:dyDescent="0.25">
      <c r="A166" s="5">
        <v>45788</v>
      </c>
      <c r="B166" s="2">
        <f>0.358625209007039*(8350/2783.333)</f>
        <v>1.0758757558685128</v>
      </c>
      <c r="C166" s="2">
        <f>0.280657149149444*(8350/2783.333)</f>
        <v>0.84197154828324849</v>
      </c>
      <c r="D166" s="2">
        <f>0.206560215604899*(8350/2783.333)</f>
        <v>0.61968072102795724</v>
      </c>
      <c r="E166" s="2">
        <f>0.215891528466017*(8350/2783.333)</f>
        <v>0.64767466296387777</v>
      </c>
      <c r="F166" s="2">
        <f>0.192554255813829*(8350/2783.333)</f>
        <v>0.57766283662266504</v>
      </c>
      <c r="G166" s="2">
        <f>0.223634084098715*(8350/2783.333)</f>
        <v>0.67090233264372912</v>
      </c>
      <c r="H166" s="2">
        <f>0.230631415612859*(8350/2783.333)</f>
        <v>0.69189432970017339</v>
      </c>
      <c r="I166" s="2">
        <f>0.19851052330958*(8350/2783.333)</f>
        <v>0.59553164124989366</v>
      </c>
      <c r="J166" s="2">
        <f>0.188549394534575*(8350/2783.333)</f>
        <v>0.56564825134603025</v>
      </c>
      <c r="K166" s="2">
        <f>0.254557105305879*(8350/2783.333)</f>
        <v>0.76367140737529204</v>
      </c>
      <c r="L166" s="2">
        <f>0.18597605805928*(8350/2783.333)</f>
        <v>0.55792824099559302</v>
      </c>
      <c r="M166" s="2">
        <f>0.18855653548026*(8350/2783.333)</f>
        <v>0.56566967418565173</v>
      </c>
      <c r="N166" s="2">
        <f>0.382176336102551*(8350/2783.333)</f>
        <v>1.1465291456165325</v>
      </c>
      <c r="O166" s="2">
        <f>0.0307979852675189*(8350/2783.333)</f>
        <v>9.2393966867702459E-2</v>
      </c>
      <c r="P166" s="2">
        <f>0.490124263404955*(8350/2783.333)</f>
        <v>1.4703729663074347</v>
      </c>
      <c r="Q166" s="2">
        <f>0.174514289581365*(8350/2783.333)</f>
        <v>0.52354293144384845</v>
      </c>
      <c r="R166" s="2">
        <f>0.122075925296309*(8350/2783.333)</f>
        <v>0.36622781974854524</v>
      </c>
      <c r="S166" s="2">
        <f>0.0043142860370831*(8350/2783.333)</f>
        <v>1.2942859661292374E-2</v>
      </c>
      <c r="T166" s="2">
        <f t="shared" si="32"/>
        <v>0.10069243236843764</v>
      </c>
      <c r="U166" s="2">
        <f t="shared" si="33"/>
        <v>0.11437794326585224</v>
      </c>
      <c r="V166" s="2">
        <f t="shared" si="34"/>
        <v>0.11043877033537902</v>
      </c>
      <c r="W166" s="2">
        <f t="shared" si="35"/>
        <v>0.10705744606724045</v>
      </c>
      <c r="X166" s="2">
        <f t="shared" si="36"/>
        <v>0.11728533803050227</v>
      </c>
      <c r="Y166" s="2">
        <f t="shared" si="37"/>
        <v>0.10928020503416074</v>
      </c>
      <c r="Z166" s="2">
        <f t="shared" si="38"/>
        <v>0.10579568013572224</v>
      </c>
      <c r="AA166" s="2">
        <f t="shared" si="39"/>
        <v>0.11798772791544039</v>
      </c>
      <c r="AB166" s="2">
        <f t="shared" si="40"/>
        <v>0.10026757173055721</v>
      </c>
      <c r="AC166" s="2">
        <f t="shared" si="41"/>
        <v>0.1151901624778385</v>
      </c>
      <c r="AD166" s="2">
        <f t="shared" si="42"/>
        <v>0.10227444344259566</v>
      </c>
      <c r="AE166" s="2">
        <f t="shared" si="43"/>
        <v>0.10987695088187602</v>
      </c>
      <c r="AF166" s="2">
        <f t="shared" si="44"/>
        <v>0.11908712371493149</v>
      </c>
      <c r="AG166" s="2">
        <f t="shared" si="45"/>
        <v>9.9235315312320327E-2</v>
      </c>
      <c r="AH166" s="2">
        <f t="shared" si="46"/>
        <v>0.1199891551819615</v>
      </c>
      <c r="AI166" s="2">
        <f t="shared" si="47"/>
        <v>0.10099811712417744</v>
      </c>
      <c r="AJ166" s="2">
        <f>0.000151601567155579*(8350/2783.333)</f>
        <v>4.5480475593437099E-4</v>
      </c>
      <c r="AK166" s="2">
        <f>0*(8350/2783.333)</f>
        <v>0</v>
      </c>
      <c r="AL166" s="2">
        <f>0*(8350/2783.333)</f>
        <v>0</v>
      </c>
      <c r="AM166" s="2">
        <f>0.0482517999701158*(8350/2783.333)</f>
        <v>0.14475541724632554</v>
      </c>
      <c r="AN166" s="2">
        <f>0.006211099745841*(8350/2783.333)</f>
        <v>1.8633301469056111E-2</v>
      </c>
      <c r="AO166" s="2">
        <f>0.02208748385129*(8350/2783.333)</f>
        <v>6.6262459489493858E-2</v>
      </c>
      <c r="AP166" s="2">
        <f>0.0364822265659242*(8350/2783.333)</f>
        <v>0.10944669280516096</v>
      </c>
      <c r="AQ166" s="2">
        <f>0.0516653442607107*(8350/2783.333)</f>
        <v>0.1549960513445334</v>
      </c>
      <c r="AR166" s="2">
        <f>0.0754631164533167*(8350/2783.333)</f>
        <v>0.22638937647245014</v>
      </c>
      <c r="AS166" s="2">
        <f>0.0961484130721525*(8350/2783.333)</f>
        <v>0.28844527376080176</v>
      </c>
      <c r="AT166" s="2">
        <f>0.135422931488165*(8350/2783.333)</f>
        <v>0.40626884311944506</v>
      </c>
      <c r="AU166" s="2">
        <f>0.100844875897508*(8350/2783.333)</f>
        <v>0.30253466392421935</v>
      </c>
      <c r="AV166" s="2">
        <f>0.0878257648299158*(8350/2783.333)</f>
        <v>0.26347732604391816</v>
      </c>
      <c r="AW166" s="2">
        <f>0.0867319340670181*(8350/2783.333)</f>
        <v>0.26019583336223195</v>
      </c>
    </row>
    <row r="167" spans="1:49" x14ac:dyDescent="0.25">
      <c r="A167" s="5">
        <v>45789</v>
      </c>
      <c r="B167" s="2">
        <f>0.259162748696493*(8350/2783.333)</f>
        <v>0.77748833920185489</v>
      </c>
      <c r="C167" s="2">
        <f>0.255667129019699*(8350/2783.333)</f>
        <v>0.76700147891556236</v>
      </c>
      <c r="D167" s="2">
        <f>0.188955651774936*(8350/2783.333)</f>
        <v>0.56686702321307425</v>
      </c>
      <c r="E167" s="2">
        <f>0.204772651463475*(8350/2783.333)</f>
        <v>0.61431802796144663</v>
      </c>
      <c r="F167" s="2">
        <f>0.179274651964599*(8350/2783.333)</f>
        <v>0.53782402030386056</v>
      </c>
      <c r="G167" s="2">
        <f>0.215579466662956*(8350/2783.333)</f>
        <v>0.64673847744257784</v>
      </c>
      <c r="H167" s="2">
        <f>0.223468949289478*(8350/2783.333)</f>
        <v>0.67040692815669034</v>
      </c>
      <c r="I167" s="2">
        <f>0.210626189051479*(8350/2783.333)</f>
        <v>0.63187864282852602</v>
      </c>
      <c r="J167" s="2">
        <f>0.184588272800655*(8350/2783.333)</f>
        <v>0.55376488472111352</v>
      </c>
      <c r="K167" s="2">
        <f>0.225225422389976*(8350/2783.333)</f>
        <v>0.67567634808925081</v>
      </c>
      <c r="L167" s="2">
        <f>0.24713596977005*(8350/2783.333)</f>
        <v>0.74140799810152669</v>
      </c>
      <c r="M167" s="2">
        <f>0.237898432615282*(8350/2783.333)</f>
        <v>0.71369538331834581</v>
      </c>
      <c r="N167" s="2">
        <f>0.195028130279137*(8350/2783.333)</f>
        <v>0.58508446090740573</v>
      </c>
      <c r="O167" s="2">
        <f>0.328261452729409*(8350/2783.333)</f>
        <v>0.98478447612648723</v>
      </c>
      <c r="P167" s="2">
        <f>0.037502911975577*(8350/2783.333)</f>
        <v>0.11250874940083275</v>
      </c>
      <c r="Q167" s="2">
        <f>0.217907031855651*(8350/2783.333)</f>
        <v>0.65372117385691397</v>
      </c>
      <c r="R167" s="2">
        <f>0.016748221458335*(8350/2783.333)</f>
        <v>5.0244670392330916E-2</v>
      </c>
      <c r="S167" s="2">
        <f>0.126346948228862*(8350/2783.333)</f>
        <v>0.37904089008070491</v>
      </c>
      <c r="T167" s="2">
        <f t="shared" si="32"/>
        <v>0.10069243236843764</v>
      </c>
      <c r="U167" s="2">
        <f t="shared" si="33"/>
        <v>0.11437794326585224</v>
      </c>
      <c r="V167" s="2">
        <f t="shared" si="34"/>
        <v>0.11043877033537902</v>
      </c>
      <c r="W167" s="2">
        <f t="shared" si="35"/>
        <v>0.10705744606724045</v>
      </c>
      <c r="X167" s="2">
        <f t="shared" si="36"/>
        <v>0.11728533803050227</v>
      </c>
      <c r="Y167" s="2">
        <f t="shared" si="37"/>
        <v>0.10928020503416074</v>
      </c>
      <c r="Z167" s="2">
        <f t="shared" si="38"/>
        <v>0.10579568013572224</v>
      </c>
      <c r="AA167" s="2">
        <f t="shared" si="39"/>
        <v>0.11798772791544039</v>
      </c>
      <c r="AB167" s="2">
        <f t="shared" si="40"/>
        <v>0.10026757173055721</v>
      </c>
      <c r="AC167" s="2">
        <f t="shared" si="41"/>
        <v>0.1151901624778385</v>
      </c>
      <c r="AD167" s="2">
        <f t="shared" si="42"/>
        <v>0.10227444344259566</v>
      </c>
      <c r="AE167" s="2">
        <f t="shared" si="43"/>
        <v>0.10987695088187602</v>
      </c>
      <c r="AF167" s="2">
        <f t="shared" si="44"/>
        <v>0.11908712371493149</v>
      </c>
      <c r="AG167" s="2">
        <f t="shared" si="45"/>
        <v>9.9235315312320327E-2</v>
      </c>
      <c r="AH167" s="2">
        <f t="shared" si="46"/>
        <v>0.1199891551819615</v>
      </c>
      <c r="AI167" s="2">
        <f t="shared" si="47"/>
        <v>0.10099811712417744</v>
      </c>
      <c r="AJ167" s="2">
        <f>0*(8350/2783.333)</f>
        <v>0</v>
      </c>
      <c r="AK167" s="2">
        <f>0.114814050894628*(8350/2783.333)</f>
        <v>0.34444219393444553</v>
      </c>
      <c r="AL167" s="2">
        <f>0.0609354809865801*(8350/2783.333)</f>
        <v>0.18280646485272997</v>
      </c>
      <c r="AM167" s="2">
        <f>0.155000645109482*(8350/2783.333)</f>
        <v>0.46500199101730605</v>
      </c>
      <c r="AN167" s="2">
        <f>0*(8350/2783.333)</f>
        <v>0</v>
      </c>
      <c r="AO167" s="2">
        <f>0*(8350/2783.333)</f>
        <v>0</v>
      </c>
      <c r="AP167" s="2">
        <f>0.00966195954713974*(8350/2783.333)</f>
        <v>2.8985882112782354E-2</v>
      </c>
      <c r="AQ167" s="2">
        <f>0.0430262211220345*(8350/2783.333)</f>
        <v>0.12907867882462781</v>
      </c>
      <c r="AR167" s="2">
        <f>0.176733965373352*(8350/2783.333)</f>
        <v>0.53020195961729666</v>
      </c>
      <c r="AS167" s="2">
        <f>0.186508627364042*(8350/2783.333)</f>
        <v>0.55952594910122055</v>
      </c>
      <c r="AT167" s="2">
        <f>0.162966578570503*(8350/2783.333)</f>
        <v>0.48889979426238317</v>
      </c>
      <c r="AU167" s="2">
        <f>0.116104297908315*(8350/2783.333)</f>
        <v>0.34831293543906838</v>
      </c>
      <c r="AV167" s="2">
        <f>0.109975825448395*(8350/2783.333)</f>
        <v>0.32992751585746355</v>
      </c>
      <c r="AW167" s="2">
        <f>0.107715466502587*(8350/2783.333)</f>
        <v>0.32314643820793321</v>
      </c>
    </row>
    <row r="168" spans="1:49" x14ac:dyDescent="0.25">
      <c r="A168" s="5">
        <v>45790</v>
      </c>
      <c r="B168" s="2">
        <f>0.32547105557019*(8350/2783.333)</f>
        <v>0.9764132836462931</v>
      </c>
      <c r="C168" s="2">
        <f>0.32775372554781*(8350/2783.333)</f>
        <v>0.98326129439927368</v>
      </c>
      <c r="D168" s="2">
        <f>0.218296591491541*(8350/2783.333)</f>
        <v>0.65488985290454549</v>
      </c>
      <c r="E168" s="2">
        <f>0.213575095757154*(8350/2783.333)</f>
        <v>0.64072536400503766</v>
      </c>
      <c r="F168" s="2">
        <f>0.354252961507389*(8350/2783.333)</f>
        <v>1.0627590117986963</v>
      </c>
      <c r="G168" s="2">
        <f>0.305601661533201*(8350/2783.333)</f>
        <v>0.91680509439662083</v>
      </c>
      <c r="H168" s="2">
        <f>0.246388841524297*(8350/2783.333)</f>
        <v>0.73916661309583775</v>
      </c>
      <c r="I168" s="2">
        <f>0.207830266187964*(8350/2783.333)</f>
        <v>0.62349087323345709</v>
      </c>
      <c r="J168" s="2">
        <f>0.182607711933695*(8350/2783.333)</f>
        <v>0.54782320140865493</v>
      </c>
      <c r="K168" s="2">
        <f>0.240415043899997*(8350/2783.333)</f>
        <v>0.72124521807666531</v>
      </c>
      <c r="L168" s="2">
        <f>0.176822873993723*(8350/2783.333)</f>
        <v>0.53046868551035142</v>
      </c>
      <c r="M168" s="2">
        <f>0.217192457924692*(8350/2783.333)</f>
        <v>0.65157745180730431</v>
      </c>
      <c r="N168" s="2">
        <f>0.087467161458522*(8350/2783.333)</f>
        <v>0.2624015158008971</v>
      </c>
      <c r="O168" s="2">
        <f>0.112299970670587*(8350/2783.333)</f>
        <v>0.33689995235906162</v>
      </c>
      <c r="P168" s="2">
        <f>0.295712616267193*(8350/2783.333)</f>
        <v>0.88713795504564685</v>
      </c>
      <c r="Q168" s="2">
        <f>0.0382044796110557*(8350/2783.333)</f>
        <v>0.11461345255932902</v>
      </c>
      <c r="R168" s="2">
        <f>0.0483837508796346*(8350/2783.333)</f>
        <v>0.14515127002228939</v>
      </c>
      <c r="S168" s="2">
        <f>0.0035438778161754*(8350/2783.333)</f>
        <v>1.0631634721775876E-2</v>
      </c>
      <c r="T168" s="2">
        <f t="shared" si="32"/>
        <v>0.10069243236843764</v>
      </c>
      <c r="U168" s="2">
        <f t="shared" si="33"/>
        <v>0.11437794326585224</v>
      </c>
      <c r="V168" s="2">
        <f t="shared" si="34"/>
        <v>0.11043877033537902</v>
      </c>
      <c r="W168" s="2">
        <f t="shared" si="35"/>
        <v>0.10705744606724045</v>
      </c>
      <c r="X168" s="2">
        <f t="shared" si="36"/>
        <v>0.11728533803050227</v>
      </c>
      <c r="Y168" s="2">
        <f t="shared" si="37"/>
        <v>0.10928020503416074</v>
      </c>
      <c r="Z168" s="2">
        <f t="shared" si="38"/>
        <v>0.10579568013572224</v>
      </c>
      <c r="AA168" s="2">
        <f t="shared" si="39"/>
        <v>0.11798772791544039</v>
      </c>
      <c r="AB168" s="2">
        <f t="shared" si="40"/>
        <v>0.10026757173055721</v>
      </c>
      <c r="AC168" s="2">
        <f t="shared" si="41"/>
        <v>0.1151901624778385</v>
      </c>
      <c r="AD168" s="2">
        <f t="shared" si="42"/>
        <v>0.10227444344259566</v>
      </c>
      <c r="AE168" s="2">
        <f t="shared" si="43"/>
        <v>0.10987695088187602</v>
      </c>
      <c r="AF168" s="2">
        <f t="shared" si="44"/>
        <v>0.11908712371493149</v>
      </c>
      <c r="AG168" s="2">
        <f t="shared" si="45"/>
        <v>9.9235315312320327E-2</v>
      </c>
      <c r="AH168" s="2">
        <f t="shared" si="46"/>
        <v>0.1199891551819615</v>
      </c>
      <c r="AI168" s="2">
        <f t="shared" si="47"/>
        <v>0.10099811712417744</v>
      </c>
      <c r="AJ168" s="2">
        <f>0.00136441410440021*(8350/2783.333)</f>
        <v>4.0932428034093369E-3</v>
      </c>
      <c r="AK168" s="2">
        <f>0*(8350/2783.333)</f>
        <v>0</v>
      </c>
      <c r="AL168" s="2">
        <f>0.0100601029930675*(8350/2783.333)</f>
        <v>3.0180312593611071E-2</v>
      </c>
      <c r="AM168" s="2">
        <f>0.0191685232757994*(8350/2783.333)</f>
        <v>5.7505576714293676E-2</v>
      </c>
      <c r="AN168" s="2">
        <f>0.0776387468230125*(8350/2783.333)</f>
        <v>0.23291626836320137</v>
      </c>
      <c r="AO168" s="2">
        <f>0*(8350/2783.333)</f>
        <v>0</v>
      </c>
      <c r="AP168" s="2">
        <f>0.0564724876979375*(8350/2783.333)</f>
        <v>0.16941748338333137</v>
      </c>
      <c r="AQ168" s="2">
        <f>0.0581023379718812*(8350/2783.333)</f>
        <v>0.17430703479073756</v>
      </c>
      <c r="AR168" s="2">
        <f>0.11744151673146*(8350/2783.333)</f>
        <v>0.35232459238894287</v>
      </c>
      <c r="AS168" s="2">
        <f>0.25580622942775*(8350/2783.333)</f>
        <v>0.76741878018969156</v>
      </c>
      <c r="AT168" s="2">
        <f>0.210348209563336*(8350/2783.333)</f>
        <v>0.6310447042642231</v>
      </c>
      <c r="AU168" s="2">
        <f>0.14396932940631*(8350/2783.333)</f>
        <v>0.43190803994444499</v>
      </c>
      <c r="AV168" s="2">
        <f>0.129647557606066*(8350/2783.333)</f>
        <v>0.38894271939816499</v>
      </c>
      <c r="AW168" s="2">
        <f>0.121393620979106*(8350/2783.333)</f>
        <v>0.3641809065517978</v>
      </c>
    </row>
    <row r="169" spans="1:49" x14ac:dyDescent="0.25">
      <c r="A169" s="5">
        <v>45791</v>
      </c>
      <c r="B169" s="2">
        <f>0.356757369376794*(8350/2783.333)</f>
        <v>1.0702722363066977</v>
      </c>
      <c r="C169" s="2">
        <f>0.274890221427195*(8350/2783.333)</f>
        <v>0.82467076304455178</v>
      </c>
      <c r="D169" s="2">
        <f>0.204604152957125*(8350/2783.333)</f>
        <v>0.61381253238185907</v>
      </c>
      <c r="E169" s="2">
        <f>0.208478943797656*(8350/2783.333)</f>
        <v>0.62543690629559034</v>
      </c>
      <c r="F169" s="2">
        <f>0.183570994386409*(8350/2783.333)</f>
        <v>0.55071304911288521</v>
      </c>
      <c r="G169" s="2">
        <f>0.21794847179112*(8350/2783.333)</f>
        <v>0.65384549367821043</v>
      </c>
      <c r="H169" s="2">
        <f>0.224901442554155*(8350/2783.333)</f>
        <v>0.67470440846538693</v>
      </c>
      <c r="I169" s="2">
        <f>0.219013957642025*(8350/2783.333)</f>
        <v>0.65704195161373269</v>
      </c>
      <c r="J169" s="2">
        <f>0.184588272800655*(8350/2783.333)</f>
        <v>0.55376488472111352</v>
      </c>
      <c r="K169" s="2">
        <f>0.230463222910673*(8350/2783.333)</f>
        <v>0.69138975153318649</v>
      </c>
      <c r="L169" s="2">
        <f>0.151443590902859*(8350/2783.333)</f>
        <v>0.45433082711945388</v>
      </c>
      <c r="M169" s="2">
        <f>0.475796865230563*(8350/2783.333)</f>
        <v>1.4273907666366912</v>
      </c>
      <c r="N169" s="2">
        <f>0.135928696861217*(8350/2783.333)</f>
        <v>0.40778613942031289</v>
      </c>
      <c r="O169" s="2">
        <f>0.203191585728387*(8350/2783.333)</f>
        <v>0.6095748301881343</v>
      </c>
      <c r="P169" s="2">
        <f>0.167685434005741*(8350/2783.333)</f>
        <v>0.50305636226349359</v>
      </c>
      <c r="Q169" s="2">
        <f>0.0316012362214905*(8350/2783.333)</f>
        <v>9.4803720018210413E-2</v>
      </c>
      <c r="R169" s="2">
        <f>0.000744365398148224*(8350/2783.333)</f>
        <v>2.2330964618813747E-3</v>
      </c>
      <c r="S169" s="2">
        <f>0.0130969397554308*(8350/2783.333)</f>
        <v>3.9290823971780388E-2</v>
      </c>
      <c r="T169" s="2">
        <f t="shared" si="32"/>
        <v>0.10069243236843764</v>
      </c>
      <c r="U169" s="2">
        <f t="shared" si="33"/>
        <v>0.11437794326585224</v>
      </c>
      <c r="V169" s="2">
        <f t="shared" si="34"/>
        <v>0.11043877033537902</v>
      </c>
      <c r="W169" s="2">
        <f t="shared" si="35"/>
        <v>0.10705744606724045</v>
      </c>
      <c r="X169" s="2">
        <f t="shared" si="36"/>
        <v>0.11728533803050227</v>
      </c>
      <c r="Y169" s="2">
        <f t="shared" si="37"/>
        <v>0.10928020503416074</v>
      </c>
      <c r="Z169" s="2">
        <f t="shared" si="38"/>
        <v>0.10579568013572224</v>
      </c>
      <c r="AA169" s="2">
        <f t="shared" si="39"/>
        <v>0.11798772791544039</v>
      </c>
      <c r="AB169" s="2">
        <f t="shared" si="40"/>
        <v>0.10026757173055721</v>
      </c>
      <c r="AC169" s="2">
        <f t="shared" si="41"/>
        <v>0.1151901624778385</v>
      </c>
      <c r="AD169" s="2">
        <f t="shared" si="42"/>
        <v>0.10227444344259566</v>
      </c>
      <c r="AE169" s="2">
        <f t="shared" si="43"/>
        <v>0.10987695088187602</v>
      </c>
      <c r="AF169" s="2">
        <f t="shared" si="44"/>
        <v>0.11908712371493149</v>
      </c>
      <c r="AG169" s="2">
        <f t="shared" si="45"/>
        <v>9.9235315312320327E-2</v>
      </c>
      <c r="AH169" s="2">
        <f t="shared" si="46"/>
        <v>0.1199891551819615</v>
      </c>
      <c r="AI169" s="2">
        <f t="shared" si="47"/>
        <v>0.10099811712417744</v>
      </c>
      <c r="AJ169" s="2">
        <f>0*(8350/2783.333)</f>
        <v>0</v>
      </c>
      <c r="AK169" s="2">
        <f>0*(8350/2783.333)</f>
        <v>0</v>
      </c>
      <c r="AL169" s="2">
        <f>0.00948523996489218*(8350/2783.333)</f>
        <v>2.8455723302547586E-2</v>
      </c>
      <c r="AM169" s="2">
        <f>0.0809704862512217*(8350/2783.333)</f>
        <v>0.24291148784486136</v>
      </c>
      <c r="AN169" s="2">
        <f>0.0242232890087799*(8350/2783.333)</f>
        <v>7.266987572931885E-2</v>
      </c>
      <c r="AO169" s="2">
        <f>0.0055218709628225*(8350/2783.333)</f>
        <v>1.6565614872373464E-2</v>
      </c>
      <c r="AP169" s="2">
        <f>0.0121607421886414*(8350/2783.333)</f>
        <v>3.648223093505365E-2</v>
      </c>
      <c r="AQ169" s="2">
        <f>0.0750417951065404*(8350/2783.333)</f>
        <v>0.22512541228074848</v>
      </c>
      <c r="AR169" s="2">
        <f>0.198948216104198*(8350/2783.333)</f>
        <v>0.59684471979100506</v>
      </c>
      <c r="AS169" s="2">
        <f>0.230402468114372*(8350/2783.333)</f>
        <v>0.69120748712245661</v>
      </c>
      <c r="AT169" s="2">
        <f>0.208052905639807*(8350/2783.333)</f>
        <v>0.62415879166897836</v>
      </c>
      <c r="AU169" s="2">
        <f>0.137003071531811*(8350/2783.333)</f>
        <v>0.41100926381810077</v>
      </c>
      <c r="AV169" s="2">
        <f>0.10858176568919*(8350/2783.333)</f>
        <v>0.3257453360789887</v>
      </c>
      <c r="AW169" s="2">
        <f>0.10756003292899*(8350/2783.333)</f>
        <v>0.32268013743129814</v>
      </c>
    </row>
    <row r="170" spans="1:49" x14ac:dyDescent="0.25">
      <c r="A170" s="5">
        <v>45792</v>
      </c>
      <c r="B170" s="2">
        <f>0.322202336217262*(8350/2783.333)</f>
        <v>0.96660712441311702</v>
      </c>
      <c r="C170" s="2">
        <f>0.331598344029309*(8350/2783.333)</f>
        <v>0.99479515122507145</v>
      </c>
      <c r="D170" s="2">
        <f>0.24137813073527*(8350/2783.333)</f>
        <v>0.72413447892850302</v>
      </c>
      <c r="E170" s="2">
        <f>0.213575095757154*(8350/2783.333)</f>
        <v>0.64072536400503766</v>
      </c>
      <c r="F170" s="2">
        <f>0.171072543704781*(8350/2783.333)</f>
        <v>0.51321769257754035</v>
      </c>
      <c r="G170" s="2">
        <f>0.207524849227197*(8350/2783.333)</f>
        <v>0.62257462224142657</v>
      </c>
      <c r="H170" s="2">
        <f>0.224901442554155*(8350/2783.333)</f>
        <v>0.67470440846538693</v>
      </c>
      <c r="I170" s="2">
        <f>0.224139816225136*(8350/2783.333)</f>
        <v>0.67241952920469228</v>
      </c>
      <c r="J170" s="2">
        <f>0.182607711933695*(8350/2783.333)</f>
        <v>0.54782320140865493</v>
      </c>
      <c r="K170" s="2">
        <f>0.232034563066882*(8350/2783.333)</f>
        <v>0.69610377256636757</v>
      </c>
      <c r="L170" s="2">
        <f>0.173910497245591*(8350/2783.333)</f>
        <v>0.52173155421959294</v>
      </c>
      <c r="M170" s="2">
        <f>0.139214638345239*(8350/2783.333)</f>
        <v>0.41764396505295742</v>
      </c>
      <c r="N170" s="2">
        <f>0.131594738410569*(8350/2783.333)</f>
        <v>0.3947842625112597</v>
      </c>
      <c r="O170" s="2">
        <f>0.239247763602556*(8350/2783.333)</f>
        <v>0.71774337676495714</v>
      </c>
      <c r="P170" s="2">
        <f>0.0137941745197525*(8350/2783.333)</f>
        <v>4.1382528515248818E-2</v>
      </c>
      <c r="Q170" s="2">
        <f>0.230170198150558*(8350/2783.333)</f>
        <v>0.6905106771475622</v>
      </c>
      <c r="R170" s="2">
        <f>0.0647597896388955*(8350/2783.333)</f>
        <v>0.19427939218367959</v>
      </c>
      <c r="S170" s="2">
        <f>0.000308163288363079*(8350/2783.333)</f>
        <v>9.2448997580659852E-4</v>
      </c>
      <c r="T170" s="2">
        <f t="shared" si="32"/>
        <v>0.10069243236843764</v>
      </c>
      <c r="U170" s="2">
        <f t="shared" si="33"/>
        <v>0.11437794326585224</v>
      </c>
      <c r="V170" s="2">
        <f t="shared" si="34"/>
        <v>0.11043877033537902</v>
      </c>
      <c r="W170" s="2">
        <f t="shared" si="35"/>
        <v>0.10705744606724045</v>
      </c>
      <c r="X170" s="2">
        <f t="shared" si="36"/>
        <v>0.11728533803050227</v>
      </c>
      <c r="Y170" s="2">
        <f t="shared" si="37"/>
        <v>0.10928020503416074</v>
      </c>
      <c r="Z170" s="2">
        <f t="shared" si="38"/>
        <v>0.10579568013572224</v>
      </c>
      <c r="AA170" s="2">
        <f t="shared" si="39"/>
        <v>0.11798772791544039</v>
      </c>
      <c r="AB170" s="2">
        <f t="shared" si="40"/>
        <v>0.10026757173055721</v>
      </c>
      <c r="AC170" s="2">
        <f t="shared" si="41"/>
        <v>0.1151901624778385</v>
      </c>
      <c r="AD170" s="2">
        <f t="shared" si="42"/>
        <v>0.10227444344259566</v>
      </c>
      <c r="AE170" s="2">
        <f t="shared" si="43"/>
        <v>0.10987695088187602</v>
      </c>
      <c r="AF170" s="2">
        <f t="shared" si="44"/>
        <v>0.11908712371493149</v>
      </c>
      <c r="AG170" s="2">
        <f t="shared" si="45"/>
        <v>9.9235315312320327E-2</v>
      </c>
      <c r="AH170" s="2">
        <f t="shared" si="46"/>
        <v>0.1199891551819615</v>
      </c>
      <c r="AI170" s="2">
        <f t="shared" si="47"/>
        <v>0.10099811712417744</v>
      </c>
      <c r="AJ170" s="2">
        <f>0.0177373833572027*(8350/2783.333)</f>
        <v>5.3212156444321382E-2</v>
      </c>
      <c r="AK170" s="2">
        <f>0.0173869842085859*(8350/2783.333)</f>
        <v>5.2160958872579218E-2</v>
      </c>
      <c r="AL170" s="2">
        <f>0.0209825005283978*(8350/2783.333)</f>
        <v>6.2947509123817372E-2</v>
      </c>
      <c r="AM170" s="2">
        <f>0.0297442602555508*(8350/2783.333)</f>
        <v>8.9232791453214361E-2</v>
      </c>
      <c r="AN170" s="2">
        <f>0.0916137212511548*(8350/2783.333)</f>
        <v>0.27484119666857765</v>
      </c>
      <c r="AO170" s="2">
        <f>0.000895438534511757*(8350/2783.333)</f>
        <v>2.6863159252497521E-3</v>
      </c>
      <c r="AP170" s="2">
        <f>0.0178246495093785*(8350/2783.333)</f>
        <v>5.3473954932201924E-2</v>
      </c>
      <c r="AQ170" s="2">
        <f>0.0791072648188586*(8350/2783.333)</f>
        <v>0.23732182287835113</v>
      </c>
      <c r="AR170" s="2">
        <f>0.217242304941366*(8350/2783.333)</f>
        <v>0.65172699287523517</v>
      </c>
      <c r="AS170" s="2">
        <f>0.196637975229502*(8350/2783.333)</f>
        <v>0.58991399633689023</v>
      </c>
      <c r="AT170" s="2">
        <f>0.223300281703245*(8350/2783.333)</f>
        <v>0.66990092533739043</v>
      </c>
      <c r="AU170" s="2">
        <f>0.15176490369444*(8350/2783.333)</f>
        <v>0.45529476560963983</v>
      </c>
      <c r="AV170" s="2">
        <f>0.120198930349232*(8350/2783.333)</f>
        <v>0.3605968342329462</v>
      </c>
      <c r="AW170" s="2">
        <f>0.116108879476815*(8350/2783.333)</f>
        <v>0.34832668014621387</v>
      </c>
    </row>
    <row r="171" spans="1:49" x14ac:dyDescent="0.25">
      <c r="A171" s="5">
        <v>45793</v>
      </c>
      <c r="B171" s="2">
        <f>0.334343293813854*(8350/2783.333)</f>
        <v>1.0030300015649156</v>
      </c>
      <c r="C171" s="2">
        <f>0.296516200385629*(8350/2783.333)</f>
        <v>0.8895487076896651</v>
      </c>
      <c r="D171" s="2">
        <f>0.206169003075344*(8350/2783.333)</f>
        <v>0.61850708329873716</v>
      </c>
      <c r="E171" s="2">
        <f>0.230253411260966*(8350/2783.333)</f>
        <v>0.69076031650868508</v>
      </c>
      <c r="F171" s="2">
        <f>0.191773102646227*(8350/2783.333)</f>
        <v>0.57531937683920609</v>
      </c>
      <c r="G171" s="2">
        <f>0.231688701534473*(8350/2783.333)</f>
        <v>0.69506618784488006</v>
      </c>
      <c r="H171" s="2">
        <f>0.21678398072099*(8350/2783.333)</f>
        <v>0.65035202004943826</v>
      </c>
      <c r="I171" s="2">
        <f>0.225071790512974*(8350/2783.333)</f>
        <v>0.6752154524030487</v>
      </c>
      <c r="J171" s="2">
        <f>0.184984384974047*(8350/2783.333)</f>
        <v>0.55495322138360492</v>
      </c>
      <c r="K171" s="2">
        <f>0.234129683275161*(8350/2783.333)</f>
        <v>0.7023891339439422</v>
      </c>
      <c r="L171" s="2">
        <f>0.235486462777522*(8350/2783.333)</f>
        <v>0.70645947293849143</v>
      </c>
      <c r="M171" s="2">
        <f>0.219395221189648*(8350/2783.333)</f>
        <v>0.65818574239358529</v>
      </c>
      <c r="N171" s="2">
        <f>0.360112547626527*(8350/2783.333)</f>
        <v>1.080337772261351</v>
      </c>
      <c r="O171" s="2">
        <f>0.123567526256265*(8350/2783.333)</f>
        <v>0.3707026231643184</v>
      </c>
      <c r="P171" s="2">
        <f>0.0512970864953295*(8350/2783.333)</f>
        <v>0.15389127791608156</v>
      </c>
      <c r="Q171" s="2">
        <f>0*(8350/2783.333)</f>
        <v>0</v>
      </c>
      <c r="R171" s="2">
        <f>0.0368460872083371*(8350/2783.333)</f>
        <v>0.11053827486312802</v>
      </c>
      <c r="S171" s="2">
        <f>0.0203387770319632*(8350/2783.333)</f>
        <v>6.1016338403235462E-2</v>
      </c>
      <c r="T171" s="2">
        <f t="shared" si="32"/>
        <v>0.10069243236843764</v>
      </c>
      <c r="U171" s="2">
        <f t="shared" si="33"/>
        <v>0.11437794326585224</v>
      </c>
      <c r="V171" s="2">
        <f t="shared" si="34"/>
        <v>0.11043877033537902</v>
      </c>
      <c r="W171" s="2">
        <f t="shared" si="35"/>
        <v>0.10705744606724045</v>
      </c>
      <c r="X171" s="2">
        <f t="shared" si="36"/>
        <v>0.11728533803050227</v>
      </c>
      <c r="Y171" s="2">
        <f t="shared" si="37"/>
        <v>0.10928020503416074</v>
      </c>
      <c r="Z171" s="2">
        <f t="shared" si="38"/>
        <v>0.10579568013572224</v>
      </c>
      <c r="AA171" s="2">
        <f t="shared" si="39"/>
        <v>0.11798772791544039</v>
      </c>
      <c r="AB171" s="2">
        <f t="shared" si="40"/>
        <v>0.10026757173055721</v>
      </c>
      <c r="AC171" s="2">
        <f t="shared" si="41"/>
        <v>0.1151901624778385</v>
      </c>
      <c r="AD171" s="2">
        <f t="shared" si="42"/>
        <v>0.10227444344259566</v>
      </c>
      <c r="AE171" s="2">
        <f t="shared" si="43"/>
        <v>0.10987695088187602</v>
      </c>
      <c r="AF171" s="2">
        <f t="shared" si="44"/>
        <v>0.11908712371493149</v>
      </c>
      <c r="AG171" s="2">
        <f t="shared" si="45"/>
        <v>9.9235315312320327E-2</v>
      </c>
      <c r="AH171" s="2">
        <f t="shared" si="46"/>
        <v>0.1199891551819615</v>
      </c>
      <c r="AI171" s="2">
        <f t="shared" si="47"/>
        <v>0.10099811712417744</v>
      </c>
      <c r="AJ171" s="2">
        <f>0*(8350/2783.333)</f>
        <v>0</v>
      </c>
      <c r="AK171" s="2">
        <f>0.0971272910962386*(8350/2783.333)</f>
        <v>0.29138190818475279</v>
      </c>
      <c r="AL171" s="2">
        <f>0.084217433627679*(8350/2783.333)</f>
        <v>0.25265233114080127</v>
      </c>
      <c r="AM171" s="2">
        <f>0.0280918013524647*(8350/2783.333)</f>
        <v>8.4275414150258035E-2</v>
      </c>
      <c r="AN171" s="2">
        <f>0.0810548516832251*(8350/2783.333)</f>
        <v>0.24316458417118225</v>
      </c>
      <c r="AO171" s="2">
        <f>0.0746198778759797*(8350/2783.333)</f>
        <v>0.22385966043747929</v>
      </c>
      <c r="AP171" s="2">
        <f>0.0684666443771454*(8350/2783.333)</f>
        <v>0.20539995773023353</v>
      </c>
      <c r="AQ171" s="2">
        <f>0.0525123171174436*(8350/2783.333)</f>
        <v>0.15753697021903393</v>
      </c>
      <c r="AR171" s="2">
        <f>0.081996719609448*(8350/2783.333)</f>
        <v>0.2459901882882467</v>
      </c>
      <c r="AS171" s="2">
        <f>0.139399120624676*(8350/2783.333)</f>
        <v>0.41819741195755039</v>
      </c>
      <c r="AT171" s="2">
        <f>0.133619478405392*(8350/2783.333)</f>
        <v>0.40085848322318118</v>
      </c>
      <c r="AU171" s="2">
        <f>0.13965688405543*(8350/2783.333)</f>
        <v>0.41897070234242234</v>
      </c>
      <c r="AV171" s="2">
        <f>0.121128303522036*(8350/2783.333)</f>
        <v>0.363384954085263</v>
      </c>
      <c r="AW171" s="2">
        <f>0.11533171160883*(8350/2783.333)</f>
        <v>0.34599517626303927</v>
      </c>
    </row>
    <row r="172" spans="1:49" x14ac:dyDescent="0.25">
      <c r="A172" s="5">
        <v>45794</v>
      </c>
      <c r="B172" s="2">
        <f>0.342281612242395*(8350/2783.333)</f>
        <v>1.0268449597026297</v>
      </c>
      <c r="C172" s="2">
        <f>0.317181024723687*(8350/2783.333)</f>
        <v>0.95154318812832928</v>
      </c>
      <c r="D172" s="2">
        <f>0.236292367851059*(8350/2783.333)</f>
        <v>0.70887718844864811</v>
      </c>
      <c r="E172" s="2">
        <f>0.256660744142003*(8350/2783.333)</f>
        <v>0.76998232463945981</v>
      </c>
      <c r="F172" s="2">
        <f>0.217160580593284*(8350/2783.333)</f>
        <v>0.65148181980162645</v>
      </c>
      <c r="G172" s="2">
        <f>0.253957349739219*(8350/2783.333)</f>
        <v>0.7618721404598281</v>
      </c>
      <c r="H172" s="2">
        <f>0.266443747229763*(8350/2783.333)</f>
        <v>0.79933133741759221</v>
      </c>
      <c r="I172" s="2">
        <f>0.255360954867722*(8350/2783.333)</f>
        <v>0.76608295634962909</v>
      </c>
      <c r="J172" s="2">
        <f>0.216277246672012*(8350/2783.333)</f>
        <v>0.64883181772044629</v>
      </c>
      <c r="K172" s="2">
        <f>0.285983908430062*(8350/2783.333)</f>
        <v>0.85795182803890868</v>
      </c>
      <c r="L172" s="2">
        <f>0.263362068795356*(8350/2783.333)</f>
        <v>0.79008630100718236</v>
      </c>
      <c r="M172" s="2">
        <f>0.246268933022116*(8350/2783.333)</f>
        <v>0.7388068875462136</v>
      </c>
      <c r="N172" s="2">
        <f>0.48422135780416*(8350/2783.333)</f>
        <v>1.4526642473842459</v>
      </c>
      <c r="O172" s="2">
        <f>0.108919703994884*(8350/2783.333)</f>
        <v>0.32675915111748416</v>
      </c>
      <c r="P172" s="2">
        <f>0.203464074166349*(8350/2783.333)</f>
        <v>0.61039229559992014</v>
      </c>
      <c r="Q172" s="2">
        <f>0.141969732875651*(8350/2783.333)</f>
        <v>0.42590924963404997</v>
      </c>
      <c r="R172" s="2">
        <f>0.010048932875001*(8350/2783.333)</f>
        <v>3.0146802235398534E-2</v>
      </c>
      <c r="S172" s="2">
        <f>0.00261938795108617*(8350/2783.333)</f>
        <v>7.85816479435608E-3</v>
      </c>
      <c r="T172" s="2">
        <f t="shared" si="32"/>
        <v>0.10069243236843764</v>
      </c>
      <c r="U172" s="2">
        <f t="shared" si="33"/>
        <v>0.11437794326585224</v>
      </c>
      <c r="V172" s="2">
        <f t="shared" si="34"/>
        <v>0.11043877033537902</v>
      </c>
      <c r="W172" s="2">
        <f t="shared" si="35"/>
        <v>0.10705744606724045</v>
      </c>
      <c r="X172" s="2">
        <f t="shared" si="36"/>
        <v>0.11728533803050227</v>
      </c>
      <c r="Y172" s="2">
        <f t="shared" si="37"/>
        <v>0.10928020503416074</v>
      </c>
      <c r="Z172" s="2">
        <f t="shared" si="38"/>
        <v>0.10579568013572224</v>
      </c>
      <c r="AA172" s="2">
        <f t="shared" si="39"/>
        <v>0.11798772791544039</v>
      </c>
      <c r="AB172" s="2">
        <f t="shared" si="40"/>
        <v>0.10026757173055721</v>
      </c>
      <c r="AC172" s="2">
        <f t="shared" si="41"/>
        <v>0.1151901624778385</v>
      </c>
      <c r="AD172" s="2">
        <f t="shared" si="42"/>
        <v>0.10227444344259566</v>
      </c>
      <c r="AE172" s="2">
        <f t="shared" si="43"/>
        <v>0.10987695088187602</v>
      </c>
      <c r="AF172" s="2">
        <f t="shared" si="44"/>
        <v>0.11908712371493149</v>
      </c>
      <c r="AG172" s="2">
        <f t="shared" si="45"/>
        <v>9.9235315312320327E-2</v>
      </c>
      <c r="AH172" s="2">
        <f t="shared" si="46"/>
        <v>0.1199891551819615</v>
      </c>
      <c r="AI172" s="2">
        <f t="shared" si="47"/>
        <v>0.10099811712417744</v>
      </c>
      <c r="AJ172" s="2">
        <f>0.0021224219401781*(8350/2783.333)</f>
        <v>6.36726658308119E-3</v>
      </c>
      <c r="AK172" s="2">
        <f>0.029078232210911*(8350/2783.333)</f>
        <v>8.7234707080003165E-2</v>
      </c>
      <c r="AL172" s="2">
        <f>0.0123595551057686*(8350/2783.333)</f>
        <v>3.7078669757865022E-2</v>
      </c>
      <c r="AM172" s="2">
        <f>0.0112367205409859*(8350/2783.333)</f>
        <v>3.3710165660103195E-2</v>
      </c>
      <c r="AN172" s="2">
        <f>0.0468938030810995*(8350/2783.333)</f>
        <v>0.1406814260913736</v>
      </c>
      <c r="AO172" s="2">
        <f>0.0398470147857732*(8350/2783.333)</f>
        <v>0.11954105867361396</v>
      </c>
      <c r="AP172" s="2">
        <f>0.0246546553961497*(8350/2783.333)</f>
        <v>7.3963975046410155E-2</v>
      </c>
      <c r="AQ172" s="2">
        <f>0.0581023379718812*(8350/2783.333)</f>
        <v>0.17430703479073756</v>
      </c>
      <c r="AR172" s="2">
        <f>0.130672063122626*(8350/2783.333)</f>
        <v>0.3920162363159308</v>
      </c>
      <c r="AS172" s="2">
        <f>0.252912130037619*(8350/2783.333)</f>
        <v>0.75873648097950019</v>
      </c>
      <c r="AT172" s="2">
        <f>0.149522655589838*(8350/2783.333)</f>
        <v>0.44856802049023475</v>
      </c>
      <c r="AU172" s="2">
        <f>0.229554783293011*(8350/2783.333)</f>
        <v>0.68866443235381525</v>
      </c>
      <c r="AV172" s="2">
        <f>0.111524780736401*(8350/2783.333)</f>
        <v>0.3345743822779913</v>
      </c>
      <c r="AW172" s="2">
        <f>0.126833796054994*(8350/2783.333)</f>
        <v>0.38050143373401657</v>
      </c>
    </row>
    <row r="173" spans="1:49" x14ac:dyDescent="0.25">
      <c r="A173" s="5">
        <v>45795</v>
      </c>
      <c r="B173" s="2">
        <f>0.379171444939734*(8350/2783.333)</f>
        <v>1.1375144710484797</v>
      </c>
      <c r="C173" s="2">
        <f>0.381578384288799*(8350/2783.333)</f>
        <v>1.1447352899604444</v>
      </c>
      <c r="D173" s="2">
        <f>0.238639643028387*(8350/2783.333)</f>
        <v>0.71591901482396569</v>
      </c>
      <c r="E173" s="2">
        <f>0.22006110734197*(8350/2783.333)</f>
        <v>0.66018340108978979</v>
      </c>
      <c r="F173" s="2">
        <f>0.171853696872383*(8350/2783.333)</f>
        <v>0.5155611523609992</v>
      </c>
      <c r="G173" s="2">
        <f>0.202313037945236*(8350/2783.333)</f>
        <v>0.60693918652303458</v>
      </c>
      <c r="H173" s="2">
        <f>0.206756527868257*(8350/2783.333)</f>
        <v>0.6202696578885617</v>
      </c>
      <c r="I173" s="2">
        <f>0.218547970498106*(8350/2783.333)</f>
        <v>0.65564399001455487</v>
      </c>
      <c r="J173" s="2">
        <f>0.178250478026384*(8350/2783.333)</f>
        <v>0.53475149812124667</v>
      </c>
      <c r="K173" s="2">
        <f>0.225225422389976*(8350/2783.333)</f>
        <v>0.67567634808925081</v>
      </c>
      <c r="L173" s="2">
        <f>0.170582066676297*(8350/2783.333)</f>
        <v>0.51174626131586876</v>
      </c>
      <c r="M173" s="2">
        <f>0.18503211425633*(8350/2783.333)</f>
        <v>0.55509640924760217</v>
      </c>
      <c r="N173" s="2">
        <f>0.416060011262159*(8350/2783.333)</f>
        <v>1.2481801832691322</v>
      </c>
      <c r="O173" s="2">
        <f>0.297839052648079*(8350/2783.333)</f>
        <v>0.89351726495229322</v>
      </c>
      <c r="P173" s="2">
        <f>0.253036888846709*(8350/2783.333)</f>
        <v>0.75911075745159573</v>
      </c>
      <c r="Q173" s="2">
        <f>0.0273562940424843*(8350/2783.333)</f>
        <v>8.2068891956062776E-2</v>
      </c>
      <c r="R173" s="2">
        <f>0*(8350/2783.333)</f>
        <v>0</v>
      </c>
      <c r="S173" s="2">
        <f>0.00631734741144311*(8350/2783.333)</f>
        <v>1.8952044504035263E-2</v>
      </c>
      <c r="T173" s="2">
        <f t="shared" si="32"/>
        <v>0.10069243236843764</v>
      </c>
      <c r="U173" s="2">
        <f t="shared" si="33"/>
        <v>0.11437794326585224</v>
      </c>
      <c r="V173" s="2">
        <f t="shared" si="34"/>
        <v>0.11043877033537902</v>
      </c>
      <c r="W173" s="2">
        <f t="shared" si="35"/>
        <v>0.10705744606724045</v>
      </c>
      <c r="X173" s="2">
        <f t="shared" si="36"/>
        <v>0.11728533803050227</v>
      </c>
      <c r="Y173" s="2">
        <f t="shared" si="37"/>
        <v>0.10928020503416074</v>
      </c>
      <c r="Z173" s="2">
        <f t="shared" si="38"/>
        <v>0.10579568013572224</v>
      </c>
      <c r="AA173" s="2">
        <f t="shared" si="39"/>
        <v>0.11798772791544039</v>
      </c>
      <c r="AB173" s="2">
        <f t="shared" si="40"/>
        <v>0.10026757173055721</v>
      </c>
      <c r="AC173" s="2">
        <f t="shared" si="41"/>
        <v>0.1151901624778385</v>
      </c>
      <c r="AD173" s="2">
        <f t="shared" si="42"/>
        <v>0.10227444344259566</v>
      </c>
      <c r="AE173" s="2">
        <f t="shared" si="43"/>
        <v>0.10987695088187602</v>
      </c>
      <c r="AF173" s="2">
        <f t="shared" si="44"/>
        <v>0.11908712371493149</v>
      </c>
      <c r="AG173" s="2">
        <f t="shared" si="45"/>
        <v>9.9235315312320327E-2</v>
      </c>
      <c r="AH173" s="2">
        <f t="shared" si="46"/>
        <v>0.1199891551819615</v>
      </c>
      <c r="AI173" s="2">
        <f t="shared" si="47"/>
        <v>0.10099811712417744</v>
      </c>
      <c r="AJ173" s="2">
        <f>0*(8350/2783.333)</f>
        <v>0</v>
      </c>
      <c r="AK173" s="2">
        <f>0*(8350/2783.333)</f>
        <v>0</v>
      </c>
      <c r="AL173" s="2">
        <f>0*(8350/2783.333)</f>
        <v>0</v>
      </c>
      <c r="AM173" s="2">
        <f>0*(8350/2783.333)</f>
        <v>0</v>
      </c>
      <c r="AN173" s="2">
        <f>0.0298132787800368*(8350/2783.333)</f>
        <v>8.9439847051469359E-2</v>
      </c>
      <c r="AO173" s="2">
        <f>0.00223859633627939*(8350/2783.333)</f>
        <v>6.7157898131243749E-3</v>
      </c>
      <c r="AP173" s="2">
        <f>0.0186575770565457*(8350/2783.333)</f>
        <v>5.5972737872958998E-2</v>
      </c>
      <c r="AQ173" s="2">
        <f>0.0301522336996934*(8350/2783.333)</f>
        <v>9.0456711932219463E-2</v>
      </c>
      <c r="AR173" s="2">
        <f>0.129528682570303*(8350/2783.333)</f>
        <v>0.38858609424816637</v>
      </c>
      <c r="AS173" s="2">
        <f>0.225418185831368*(8350/2783.333)</f>
        <v>0.67625463848268252</v>
      </c>
      <c r="AT173" s="2">
        <f>0.375282191496863*(8350/2783.333)</f>
        <v>1.1258467093225302</v>
      </c>
      <c r="AU173" s="2">
        <f>0.134183395725467*(8350/2783.333)</f>
        <v>0.40255023538600943</v>
      </c>
      <c r="AV173" s="2">
        <f>0.0972743920867498*(8350/2783.333)</f>
        <v>0.29182321120913696</v>
      </c>
      <c r="AW173" s="2">
        <f>0.105850263619425*(8350/2783.333)</f>
        <v>0.31755082888831532</v>
      </c>
    </row>
    <row r="174" spans="1:49" x14ac:dyDescent="0.25">
      <c r="A174" s="5">
        <v>45796</v>
      </c>
      <c r="B174" s="2">
        <f>0.289515142687974*(8350/2783.333)</f>
        <v>0.86854553208135155</v>
      </c>
      <c r="C174" s="2">
        <f>0.254705974399325*(8350/2783.333)</f>
        <v>0.764118014709113</v>
      </c>
      <c r="D174" s="2">
        <f>0.20577779054579*(8350/2783.333)</f>
        <v>0.61733344556951797</v>
      </c>
      <c r="E174" s="2">
        <f>0.221450966967287*(8350/2783.333)</f>
        <v>0.66435298046509339</v>
      </c>
      <c r="F174" s="2">
        <f>0.190601372894825*(8350/2783.333)</f>
        <v>0.57180418716401771</v>
      </c>
      <c r="G174" s="2">
        <f>0.223634084098715*(8350/2783.333)</f>
        <v>0.67090233264372912</v>
      </c>
      <c r="H174" s="2">
        <f>0.208666518887825*(8350/2783.333)</f>
        <v>0.62599963163349048</v>
      </c>
      <c r="I174" s="2">
        <f>0.225071790512974*(8350/2783.333)</f>
        <v>0.6752154524030487</v>
      </c>
      <c r="J174" s="2">
        <f>0.177062141506208*(8350/2783.333)</f>
        <v>0.53118648813377189</v>
      </c>
      <c r="K174" s="2">
        <f>0.238843703743788*(8350/2783.333)</f>
        <v>0.71653119704348467</v>
      </c>
      <c r="L174" s="2">
        <f>0.22758144017545*(8350/2783.333)</f>
        <v>0.68274440229214672</v>
      </c>
      <c r="M174" s="2">
        <f>0.184591561603339*(8350/2783.333)</f>
        <v>0.55377475113034558</v>
      </c>
      <c r="N174" s="2">
        <f>0.272251389945219*(8350/2783.333)</f>
        <v>0.81675426765053993</v>
      </c>
      <c r="O174" s="2">
        <f>0.118684918835805*(8350/2783.333)</f>
        <v>0.35605479914870714</v>
      </c>
      <c r="P174" s="2">
        <f>0.0810407753035457*(8350/2783.333)</f>
        <v>0.24312235502708687</v>
      </c>
      <c r="Q174" s="2">
        <f>0.156591200381117*(8350/2783.333)</f>
        <v>0.46977365740366955</v>
      </c>
      <c r="R174" s="2">
        <f>0.000744365398148224*(8350/2783.333)</f>
        <v>2.2330964618813747E-3</v>
      </c>
      <c r="S174" s="2">
        <f>0.00123265315345231*(8350/2783.333)</f>
        <v>3.6979599032263915E-3</v>
      </c>
      <c r="T174" s="2">
        <f t="shared" si="32"/>
        <v>0.10069243236843764</v>
      </c>
      <c r="U174" s="2">
        <f t="shared" si="33"/>
        <v>0.11437794326585224</v>
      </c>
      <c r="V174" s="2">
        <f t="shared" si="34"/>
        <v>0.11043877033537902</v>
      </c>
      <c r="W174" s="2">
        <f t="shared" si="35"/>
        <v>0.10705744606724045</v>
      </c>
      <c r="X174" s="2">
        <f t="shared" si="36"/>
        <v>0.11728533803050227</v>
      </c>
      <c r="Y174" s="2">
        <f t="shared" si="37"/>
        <v>0.10928020503416074</v>
      </c>
      <c r="Z174" s="2">
        <f t="shared" si="38"/>
        <v>0.10579568013572224</v>
      </c>
      <c r="AA174" s="2">
        <f t="shared" si="39"/>
        <v>0.11798772791544039</v>
      </c>
      <c r="AB174" s="2">
        <f t="shared" si="40"/>
        <v>0.10026757173055721</v>
      </c>
      <c r="AC174" s="2">
        <f t="shared" si="41"/>
        <v>0.1151901624778385</v>
      </c>
      <c r="AD174" s="2">
        <f t="shared" si="42"/>
        <v>0.10227444344259566</v>
      </c>
      <c r="AE174" s="2">
        <f t="shared" si="43"/>
        <v>0.10987695088187602</v>
      </c>
      <c r="AF174" s="2">
        <f t="shared" si="44"/>
        <v>0.11908712371493149</v>
      </c>
      <c r="AG174" s="2">
        <f t="shared" si="45"/>
        <v>9.9235315312320327E-2</v>
      </c>
      <c r="AH174" s="2">
        <f t="shared" si="46"/>
        <v>0.1199891551819615</v>
      </c>
      <c r="AI174" s="2">
        <f t="shared" si="47"/>
        <v>0.10099811712417744</v>
      </c>
      <c r="AJ174" s="2">
        <f>0.000454804701466736*(8350/2783.333)</f>
        <v>1.3644142678031132E-3</v>
      </c>
      <c r="AK174" s="2">
        <f>0*(8350/2783.333)</f>
        <v>0</v>
      </c>
      <c r="AL174" s="2">
        <f>0.00747321936627869*(8350/2783.333)</f>
        <v>2.2419660783825377E-2</v>
      </c>
      <c r="AM174" s="2">
        <f>0.0290832766943164*(8350/2783.333)</f>
        <v>8.7249840532031844E-2</v>
      </c>
      <c r="AN174" s="2">
        <f>0.0136644194408502*(8350/2783.333)</f>
        <v>4.0993263231923413E-2</v>
      </c>
      <c r="AO174" s="2">
        <f>0.00522339145131858*(8350/2783.333)</f>
        <v>1.5670176230623552E-2</v>
      </c>
      <c r="AP174" s="2">
        <f>0.0291524641508527*(8350/2783.333)</f>
        <v>8.7457402926498479E-2</v>
      </c>
      <c r="AQ174" s="2">
        <f>0.0401465134091424*(8350/2783.333)</f>
        <v>0.12043955465132597</v>
      </c>
      <c r="AR174" s="2">
        <f>0.176407285215545*(8350/2783.333)</f>
        <v>0.52922191902650673</v>
      </c>
      <c r="AS174" s="2">
        <f>0.110779693322263*(8350/2783.333)</f>
        <v>0.33233911976788028</v>
      </c>
      <c r="AT174" s="2">
        <f>0.19280552957637*(8350/2783.333)</f>
        <v>0.5784166580005663</v>
      </c>
      <c r="AU174" s="2">
        <f>0.100347286049329*(8350/2783.333)</f>
        <v>0.30104189420090938</v>
      </c>
      <c r="AV174" s="2">
        <f>0.0904589888195253*(8350/2783.333)</f>
        <v>0.27137699895881517</v>
      </c>
      <c r="AW174" s="2">
        <f>0.0912395077013255*(8350/2783.333)</f>
        <v>0.27371855588464178</v>
      </c>
    </row>
    <row r="175" spans="1:49" x14ac:dyDescent="0.25">
      <c r="A175" s="5">
        <v>45797</v>
      </c>
      <c r="B175" s="2">
        <f>0.266634107217473*(8350/2783.333)</f>
        <v>0.79990241744911539</v>
      </c>
      <c r="C175" s="2">
        <f>0.286424076871693*(8350/2783.333)</f>
        <v>0.85927233352194554</v>
      </c>
      <c r="D175" s="2">
        <f>0.203821727898016*(8350/2783.333)</f>
        <v>0.6114652569234198</v>
      </c>
      <c r="E175" s="2">
        <f>0.200139786045749*(8350/2783.333)</f>
        <v>0.60041943004376674</v>
      </c>
      <c r="F175" s="2">
        <f>0.184742724137812*(8350/2783.333)</f>
        <v>0.55422823878807415</v>
      </c>
      <c r="G175" s="2">
        <f>0.212262859483526*(8350/2783.333)</f>
        <v>0.6367886547126923</v>
      </c>
      <c r="H175" s="2">
        <f>0.189566608692143*(8350/2783.333)</f>
        <v>0.56869989418420097</v>
      </c>
      <c r="I175" s="2">
        <f>0.212024150483237*(8350/2783.333)</f>
        <v>0.63607252762606048</v>
      </c>
      <c r="J175" s="2">
        <f>0.183796048453871*(8350/2783.333)</f>
        <v>0.55138821139612992</v>
      </c>
      <c r="K175" s="2">
        <f>0.222606522129627*(8350/2783.333)</f>
        <v>0.66781964636728264</v>
      </c>
      <c r="L175" s="2">
        <f>0.24963229269702*(8350/2783.333)</f>
        <v>0.74889696777931991</v>
      </c>
      <c r="M175" s="2">
        <f>0.470510233394668*(8350/2783.333)</f>
        <v>1.4115308692296169</v>
      </c>
      <c r="N175" s="2">
        <f>0.185572220932269*(8350/2783.333)</f>
        <v>0.55671672946947071</v>
      </c>
      <c r="O175" s="2">
        <f>0.104412681760613*(8350/2783.333)</f>
        <v>0.31323808279538157</v>
      </c>
      <c r="P175" s="2">
        <f>0.166392230144514*(8350/2783.333)</f>
        <v>0.49917675021518904</v>
      </c>
      <c r="Q175" s="2">
        <f>0.0179230892002483*(8350/2783.333)</f>
        <v>5.376927404017906E-2</v>
      </c>
      <c r="R175" s="2">
        <f>0.0394513661018559*(8350/2783.333)</f>
        <v>0.11835411247971285</v>
      </c>
      <c r="S175" s="2">
        <f>0.0191061238785109*(8350/2783.333)</f>
        <v>5.7318378500009051E-2</v>
      </c>
      <c r="T175" s="2">
        <f t="shared" si="32"/>
        <v>0.10069243236843764</v>
      </c>
      <c r="U175" s="2">
        <f t="shared" si="33"/>
        <v>0.11437794326585224</v>
      </c>
      <c r="V175" s="2">
        <f t="shared" si="34"/>
        <v>0.11043877033537902</v>
      </c>
      <c r="W175" s="2">
        <f t="shared" si="35"/>
        <v>0.10705744606724045</v>
      </c>
      <c r="X175" s="2">
        <f t="shared" si="36"/>
        <v>0.11728533803050227</v>
      </c>
      <c r="Y175" s="2">
        <f t="shared" si="37"/>
        <v>0.10928020503416074</v>
      </c>
      <c r="Z175" s="2">
        <f t="shared" si="38"/>
        <v>0.10579568013572224</v>
      </c>
      <c r="AA175" s="2">
        <f t="shared" si="39"/>
        <v>0.11798772791544039</v>
      </c>
      <c r="AB175" s="2">
        <f t="shared" si="40"/>
        <v>0.10026757173055721</v>
      </c>
      <c r="AC175" s="2">
        <f t="shared" si="41"/>
        <v>0.1151901624778385</v>
      </c>
      <c r="AD175" s="2">
        <f t="shared" si="42"/>
        <v>0.10227444344259566</v>
      </c>
      <c r="AE175" s="2">
        <f t="shared" si="43"/>
        <v>0.10987695088187602</v>
      </c>
      <c r="AF175" s="2">
        <f t="shared" si="44"/>
        <v>0.11908712371493149</v>
      </c>
      <c r="AG175" s="2">
        <f t="shared" si="45"/>
        <v>9.9235315312320327E-2</v>
      </c>
      <c r="AH175" s="2">
        <f t="shared" si="46"/>
        <v>0.1199891551819615</v>
      </c>
      <c r="AI175" s="2">
        <f t="shared" si="47"/>
        <v>0.10099811712417744</v>
      </c>
      <c r="AJ175" s="2">
        <f>0.0109153128352017*(8350/2783.333)</f>
        <v>3.2745942427274702E-2</v>
      </c>
      <c r="AK175" s="2">
        <f>0.00419685825724488*(8350/2783.333)</f>
        <v>1.2590576279588088E-2</v>
      </c>
      <c r="AL175" s="2">
        <f>0.0238568156692743*(8350/2783.333)</f>
        <v>7.1570455579134856E-2</v>
      </c>
      <c r="AM175" s="2">
        <f>0.00330491780617232*(8350/2783.333)</f>
        <v>9.9147546059127067E-3</v>
      </c>
      <c r="AN175" s="2">
        <f>0.00031055498729205*(8350/2783.333)</f>
        <v>9.3166507345280539E-4</v>
      </c>
      <c r="AO175" s="2">
        <f>0.00358175413804703*(8350/2783.333)</f>
        <v>1.0745263700999009E-2</v>
      </c>
      <c r="AP175" s="2">
        <f>0.0284861221131189*(8350/2783.333)</f>
        <v>8.5458376573892839E-2</v>
      </c>
      <c r="AQ175" s="2">
        <f>0.043195615693381*(8350/2783.333)</f>
        <v>0.12958686259952787</v>
      </c>
      <c r="AR175" s="2">
        <f>0.19453803397381*(8350/2783.333)</f>
        <v>0.58361417181534248</v>
      </c>
      <c r="AS175" s="2">
        <f>0.136505021234544*(8350/2783.333)</f>
        <v>0.40951511274735897</v>
      </c>
      <c r="AT175" s="2">
        <f>0.195920584901158*(8350/2783.333)</f>
        <v>0.5877618250941129</v>
      </c>
      <c r="AU175" s="2">
        <f>0.102337645442043*(8350/2783.333)</f>
        <v>0.30701297309415032</v>
      </c>
      <c r="AV175" s="2">
        <f>0.0918530485787303*(8350/2783.333)</f>
        <v>0.27555917873729008</v>
      </c>
      <c r="AW175" s="2">
        <f>0.098855752807569*(8350/2783.333)</f>
        <v>0.29656729393974823</v>
      </c>
    </row>
    <row r="176" spans="1:49" x14ac:dyDescent="0.25">
      <c r="A176" s="5">
        <v>45798</v>
      </c>
      <c r="B176" s="2">
        <f>0.282977703982117*(8350/2783.333)</f>
        <v>0.84893321361499807</v>
      </c>
      <c r="C176" s="2">
        <f>0.278734839908695*(8350/2783.333)</f>
        <v>0.83620461987034989</v>
      </c>
      <c r="D176" s="2">
        <f>0.210863553430001*(8350/2783.333)</f>
        <v>0.63259073604937255</v>
      </c>
      <c r="E176" s="2">
        <f>0.230253411260966*(8350/2783.333)</f>
        <v>0.69076031650868508</v>
      </c>
      <c r="F176" s="2">
        <f>0.19724117481944*(8350/2783.333)</f>
        <v>0.59172359532342</v>
      </c>
      <c r="G176" s="2">
        <f>0.237848114867701*(8350/2783.333)</f>
        <v>0.71354443005752477</v>
      </c>
      <c r="H176" s="2">
        <f>0.2401813707107*(8350/2783.333)</f>
        <v>0.72054419842481865</v>
      </c>
      <c r="I176" s="2">
        <f>0.225537777656894*(8350/2783.333)</f>
        <v>0.67661341400222708</v>
      </c>
      <c r="J176" s="2">
        <f>0.192906628441886*(8350/2783.333)</f>
        <v>0.5787199546334385</v>
      </c>
      <c r="K176" s="2">
        <f>0.240415043899997*(8350/2783.333)</f>
        <v>0.72124521807666531</v>
      </c>
      <c r="L176" s="2">
        <f>0.231741978387067*(8350/2783.333)</f>
        <v>0.69522601842180232</v>
      </c>
      <c r="M176" s="2">
        <f>0.268296565671678*(8350/2783.333)</f>
        <v>0.80488979340902267</v>
      </c>
      <c r="N176" s="2">
        <f>0.258067525924918*(8350/2783.333)</f>
        <v>0.77420267049363789</v>
      </c>
      <c r="O176" s="2">
        <f>0.130328059607671*(8350/2783.333)</f>
        <v>0.39098422564747265</v>
      </c>
      <c r="P176" s="2">
        <f>0.0267262131320204*(8350/2783.333)</f>
        <v>8.0178648998294619E-2</v>
      </c>
      <c r="Q176" s="2">
        <f>0.108010195443602*(8350/2783.333)</f>
        <v>0.32403062513686859</v>
      </c>
      <c r="R176" s="2">
        <f>0.0346129910138924*(8350/2783.333)</f>
        <v>0.10383898547748384</v>
      </c>
      <c r="S176" s="2">
        <f>0.00539285754635388*(8350/2783.333)</f>
        <v>1.6178574576615468E-2</v>
      </c>
      <c r="T176" s="2">
        <f t="shared" si="32"/>
        <v>0.10069243236843764</v>
      </c>
      <c r="U176" s="2">
        <f t="shared" si="33"/>
        <v>0.11437794326585224</v>
      </c>
      <c r="V176" s="2">
        <f t="shared" si="34"/>
        <v>0.11043877033537902</v>
      </c>
      <c r="W176" s="2">
        <f t="shared" si="35"/>
        <v>0.10705744606724045</v>
      </c>
      <c r="X176" s="2">
        <f t="shared" si="36"/>
        <v>0.11728533803050227</v>
      </c>
      <c r="Y176" s="2">
        <f t="shared" si="37"/>
        <v>0.10928020503416074</v>
      </c>
      <c r="Z176" s="2">
        <f t="shared" si="38"/>
        <v>0.10579568013572224</v>
      </c>
      <c r="AA176" s="2">
        <f t="shared" si="39"/>
        <v>0.11798772791544039</v>
      </c>
      <c r="AB176" s="2">
        <f t="shared" si="40"/>
        <v>0.10026757173055721</v>
      </c>
      <c r="AC176" s="2">
        <f t="shared" si="41"/>
        <v>0.1151901624778385</v>
      </c>
      <c r="AD176" s="2">
        <f t="shared" si="42"/>
        <v>0.10227444344259566</v>
      </c>
      <c r="AE176" s="2">
        <f t="shared" si="43"/>
        <v>0.10987695088187602</v>
      </c>
      <c r="AF176" s="2">
        <f t="shared" si="44"/>
        <v>0.11908712371493149</v>
      </c>
      <c r="AG176" s="2">
        <f t="shared" si="45"/>
        <v>9.9235315312320327E-2</v>
      </c>
      <c r="AH176" s="2">
        <f t="shared" si="46"/>
        <v>0.1199891551819615</v>
      </c>
      <c r="AI176" s="2">
        <f t="shared" si="47"/>
        <v>0.10099811712417744</v>
      </c>
      <c r="AJ176" s="2">
        <f t="shared" ref="AJ176:AO176" si="48">0*(8350/2783.333)</f>
        <v>0</v>
      </c>
      <c r="AK176" s="2">
        <f t="shared" si="48"/>
        <v>0</v>
      </c>
      <c r="AL176" s="2">
        <f t="shared" si="48"/>
        <v>0</v>
      </c>
      <c r="AM176" s="2">
        <f t="shared" si="48"/>
        <v>0</v>
      </c>
      <c r="AN176" s="2">
        <f t="shared" si="48"/>
        <v>0</v>
      </c>
      <c r="AO176" s="2">
        <f t="shared" si="48"/>
        <v>0</v>
      </c>
      <c r="AP176" s="2">
        <f>0.0159922089056106*(8350/2783.333)</f>
        <v>4.7976632462536292E-2</v>
      </c>
      <c r="AQ176" s="2">
        <f>0.00779215028194325*(8350/2783.333)</f>
        <v>2.3376453645405033E-2</v>
      </c>
      <c r="AR176" s="2">
        <f>0.143412589277082*(8350/2783.333)</f>
        <v>0.43023781935673427</v>
      </c>
      <c r="AS176" s="2">
        <f>0.105152277841451*(8350/2783.333)</f>
        <v>0.31545687130361932</v>
      </c>
      <c r="AT176" s="2">
        <f>0.319375145930926*(8350/2783.333)</f>
        <v>0.95812555253835185</v>
      </c>
      <c r="AU176" s="2">
        <f>0.120416743259195*(8350/2783.333)</f>
        <v>0.36125027304109103</v>
      </c>
      <c r="AV176" s="2">
        <f>0.114777586841213*(8350/2783.333)</f>
        <v>0.34433280176109937</v>
      </c>
      <c r="AW176" s="2">
        <f>0.107715466502587*(8350/2783.333)</f>
        <v>0.32314643820793321</v>
      </c>
    </row>
    <row r="177" spans="1:49" x14ac:dyDescent="0.25">
      <c r="A177" s="5">
        <v>45799</v>
      </c>
      <c r="B177" s="2">
        <f>0.342281612242395*(8350/2783.333)</f>
        <v>1.0268449597026297</v>
      </c>
      <c r="C177" s="2">
        <f>0.28882696342263*(8350/2783.333)</f>
        <v>0.86648099403806922</v>
      </c>
      <c r="D177" s="2">
        <f>0.189738076834046*(8350/2783.333)</f>
        <v>0.56921429867151385</v>
      </c>
      <c r="E177" s="2">
        <f>0.20569922454702*(8350/2783.333)</f>
        <v>0.61709774754498248</v>
      </c>
      <c r="F177" s="2">
        <f>0.15271544426614*(8350/2783.333)</f>
        <v>0.45814638766625176</v>
      </c>
      <c r="G177" s="2">
        <f>0.235479109739537*(8350/2783.333)</f>
        <v>0.70643741382189262</v>
      </c>
      <c r="H177" s="2">
        <f>0.242091361730268*(8350/2783.333)</f>
        <v>0.72627417216974766</v>
      </c>
      <c r="I177" s="2">
        <f>0.208762240475802*(8350/2783.333)</f>
        <v>0.62628679643181329</v>
      </c>
      <c r="J177" s="2">
        <f>0.184192160627263*(8350/2783.333)</f>
        <v>0.55257654805862166</v>
      </c>
      <c r="K177" s="2">
        <f>0.23570102343137*(8350/2783.333)</f>
        <v>0.70710315497712228</v>
      </c>
      <c r="L177" s="2">
        <f>0.159348613504931*(8350/2783.333)</f>
        <v>0.47804589776579903</v>
      </c>
      <c r="M177" s="2">
        <f>0.256842196693906*(8350/2783.333)</f>
        <v>0.77052668236036159</v>
      </c>
      <c r="N177" s="2">
        <f>0.5882363606197*(8350/2783.333)</f>
        <v>1.7647092932015291</v>
      </c>
      <c r="O177" s="2">
        <f>0.138590933703835*(8350/2783.333)</f>
        <v>0.41577285090466076</v>
      </c>
      <c r="P177" s="2">
        <f>0.29700582012842*(8350/2783.333)</f>
        <v>0.89101756709395086</v>
      </c>
      <c r="Q177" s="2">
        <f>0.0320728964636023*(8350/2783.333)</f>
        <v>9.6218700914004654E-2</v>
      </c>
      <c r="R177" s="2">
        <f>0.033124260217596*(8350/2783.333)</f>
        <v>9.9372792553721112E-2</v>
      </c>
      <c r="S177" s="2">
        <f>0.0093989802950739*(8350/2783.333)</f>
        <v>2.8196944262101238E-2</v>
      </c>
      <c r="T177" s="2">
        <f t="shared" si="32"/>
        <v>0.10069243236843764</v>
      </c>
      <c r="U177" s="2">
        <f t="shared" si="33"/>
        <v>0.11437794326585224</v>
      </c>
      <c r="V177" s="2">
        <f t="shared" si="34"/>
        <v>0.11043877033537902</v>
      </c>
      <c r="W177" s="2">
        <f t="shared" si="35"/>
        <v>0.10705744606724045</v>
      </c>
      <c r="X177" s="2">
        <f t="shared" si="36"/>
        <v>0.11728533803050227</v>
      </c>
      <c r="Y177" s="2">
        <f t="shared" si="37"/>
        <v>0.10928020503416074</v>
      </c>
      <c r="Z177" s="2">
        <f t="shared" si="38"/>
        <v>0.10579568013572224</v>
      </c>
      <c r="AA177" s="2">
        <f t="shared" si="39"/>
        <v>0.11798772791544039</v>
      </c>
      <c r="AB177" s="2">
        <f t="shared" si="40"/>
        <v>0.10026757173055721</v>
      </c>
      <c r="AC177" s="2">
        <f t="shared" si="41"/>
        <v>0.1151901624778385</v>
      </c>
      <c r="AD177" s="2">
        <f t="shared" si="42"/>
        <v>0.10227444344259566</v>
      </c>
      <c r="AE177" s="2">
        <f t="shared" si="43"/>
        <v>0.10987695088187602</v>
      </c>
      <c r="AF177" s="2">
        <f t="shared" si="44"/>
        <v>0.11908712371493149</v>
      </c>
      <c r="AG177" s="2">
        <f t="shared" si="45"/>
        <v>9.9235315312320327E-2</v>
      </c>
      <c r="AH177" s="2">
        <f t="shared" si="46"/>
        <v>0.1199891551819615</v>
      </c>
      <c r="AI177" s="2">
        <f t="shared" si="47"/>
        <v>0.10099811712417744</v>
      </c>
      <c r="AJ177" s="2">
        <f>0*(8350/2783.333)</f>
        <v>0</v>
      </c>
      <c r="AK177" s="2">
        <f>0*(8350/2783.333)</f>
        <v>0</v>
      </c>
      <c r="AL177" s="2">
        <f>0.00172458908452585*(8350/2783.333)</f>
        <v>5.1737678731904688E-3</v>
      </c>
      <c r="AM177" s="2">
        <f>0.0109062287603686*(8350/2783.333)</f>
        <v>3.2718690199511929E-2</v>
      </c>
      <c r="AN177" s="2">
        <f>0*(8350/2783.333)</f>
        <v>0</v>
      </c>
      <c r="AO177" s="2">
        <f>0*(8350/2783.333)</f>
        <v>0</v>
      </c>
      <c r="AP177" s="2">
        <f>0*(8350/2783.333)</f>
        <v>0</v>
      </c>
      <c r="AQ177" s="2">
        <f>0.027441920558148*(8350/2783.333)</f>
        <v>8.2325771533817774E-2</v>
      </c>
      <c r="AR177" s="2">
        <f>0.137369006357661*(8350/2783.333)</f>
        <v>0.41210706842712236</v>
      </c>
      <c r="AS177" s="2">
        <f>0.204355573603187*(8350/2783.333)</f>
        <v>0.61306679423073429</v>
      </c>
      <c r="AT177" s="2">
        <f>0.167393236137307*(8350/2783.333)</f>
        <v>0.50217976855321211</v>
      </c>
      <c r="AU177" s="2">
        <f>0.225739927790309*(8350/2783.333)</f>
        <v>0.67721986447510363</v>
      </c>
      <c r="AV177" s="2">
        <f>0.133055259239678*(8350/2783.333)</f>
        <v>0.39916582552332569</v>
      </c>
      <c r="AW177" s="2">
        <f>0.13289570542527*(8350/2783.333)</f>
        <v>0.39868716402277454</v>
      </c>
    </row>
    <row r="178" spans="1:49" x14ac:dyDescent="0.25">
      <c r="A178" s="5">
        <v>45800</v>
      </c>
      <c r="B178" s="2">
        <f>0.316598817326527*(8350/2783.333)</f>
        <v>0.94979656572767157</v>
      </c>
      <c r="C178" s="2">
        <f>0.288346386112443*(8350/2783.333)</f>
        <v>0.86503926193484471</v>
      </c>
      <c r="D178" s="2">
        <f>0.224947204493971*(8350/2783.333)</f>
        <v>0.67484169430127905</v>
      </c>
      <c r="E178" s="2">
        <f>0.23627613630401*(8350/2783.333)</f>
        <v>0.70882849380166879</v>
      </c>
      <c r="F178" s="2">
        <f>0.180446381716002*(8350/2783.333)</f>
        <v>0.54133920997904905</v>
      </c>
      <c r="G178" s="2">
        <f>0.204208242047767*(8350/2783.333)</f>
        <v>0.61262479951154081</v>
      </c>
      <c r="H178" s="2">
        <f>0.219648967250342*(8350/2783.333)</f>
        <v>0.65894698066683177</v>
      </c>
      <c r="I178" s="2">
        <f>0.199908484741337*(8350/2783.333)</f>
        <v>0.59972552604742846</v>
      </c>
      <c r="J178" s="2">
        <f>0.181419375413519*(8350/2783.333)</f>
        <v>0.54425819142117993</v>
      </c>
      <c r="K178" s="2">
        <f>0.215797381452721*(8350/2783.333)</f>
        <v>0.64739222189016565</v>
      </c>
      <c r="L178" s="2">
        <f>0.273763414324399*(8350/2783.333)</f>
        <v>0.82129034133132117</v>
      </c>
      <c r="M178" s="2">
        <f>0.350239359128053*(8350/2783.333)</f>
        <v>1.0507182032186755</v>
      </c>
      <c r="N178" s="2">
        <f>0.121744832840916*(8350/2783.333)</f>
        <v>0.36523454226341084</v>
      </c>
      <c r="O178" s="2">
        <f>0.0195304296818413*(8350/2783.333)</f>
        <v>5.859129606244546E-2</v>
      </c>
      <c r="P178" s="2">
        <f>0.0659533969225665*(8350/2783.333)</f>
        <v>0.1978602144635335</v>
      </c>
      <c r="Q178" s="2">
        <f>0.0471660242111799*(8350/2783.333)</f>
        <v>0.14149808957941862</v>
      </c>
      <c r="R178" s="2">
        <f>0*(8350/2783.333)</f>
        <v>0</v>
      </c>
      <c r="S178" s="2">
        <f>0*(8350/2783.333)</f>
        <v>0</v>
      </c>
      <c r="T178" s="2">
        <f t="shared" si="32"/>
        <v>0.10069243236843764</v>
      </c>
      <c r="U178" s="2">
        <f t="shared" si="33"/>
        <v>0.11437794326585224</v>
      </c>
      <c r="V178" s="2">
        <f t="shared" si="34"/>
        <v>0.11043877033537902</v>
      </c>
      <c r="W178" s="2">
        <f t="shared" si="35"/>
        <v>0.10705744606724045</v>
      </c>
      <c r="X178" s="2">
        <f t="shared" si="36"/>
        <v>0.11728533803050227</v>
      </c>
      <c r="Y178" s="2">
        <f t="shared" si="37"/>
        <v>0.10928020503416074</v>
      </c>
      <c r="Z178" s="2">
        <f t="shared" si="38"/>
        <v>0.10579568013572224</v>
      </c>
      <c r="AA178" s="2">
        <f t="shared" si="39"/>
        <v>0.11798772791544039</v>
      </c>
      <c r="AB178" s="2">
        <f t="shared" si="40"/>
        <v>0.10026757173055721</v>
      </c>
      <c r="AC178" s="2">
        <f t="shared" si="41"/>
        <v>0.1151901624778385</v>
      </c>
      <c r="AD178" s="2">
        <f t="shared" si="42"/>
        <v>0.10227444344259566</v>
      </c>
      <c r="AE178" s="2">
        <f t="shared" si="43"/>
        <v>0.10987695088187602</v>
      </c>
      <c r="AF178" s="2">
        <f t="shared" si="44"/>
        <v>0.11908712371493149</v>
      </c>
      <c r="AG178" s="2">
        <f t="shared" si="45"/>
        <v>9.9235315312320327E-2</v>
      </c>
      <c r="AH178" s="2">
        <f t="shared" si="46"/>
        <v>0.1199891551819615</v>
      </c>
      <c r="AI178" s="2">
        <f t="shared" si="47"/>
        <v>0.10099811712417744</v>
      </c>
      <c r="AJ178" s="2">
        <f>0.0723139475332109*(8350/2783.333)</f>
        <v>0.21694186858069492</v>
      </c>
      <c r="AK178" s="2">
        <f>0.359430932174044*(8350/2783.333)</f>
        <v>1.0782929256590081</v>
      </c>
      <c r="AL178" s="2">
        <f>0.155500449121414*(8350/2783.333)</f>
        <v>0.46650140323267414</v>
      </c>
      <c r="AM178" s="2">
        <f>0.190693757416143*(8350/2783.333)</f>
        <v>0.57208134076116324</v>
      </c>
      <c r="AN178" s="2">
        <f>0.191301872171903*(8350/2783.333)</f>
        <v>0.57390568524692842</v>
      </c>
      <c r="AO178" s="2">
        <f>0.0946180051467423*(8350/2783.333)</f>
        <v>0.28385404943472387</v>
      </c>
      <c r="AP178" s="2">
        <f>0.133268407546755*(8350/2783.333)</f>
        <v>0.39980527052113601</v>
      </c>
      <c r="AQ178" s="2">
        <f>0.0860524422440689*(8350/2783.333)</f>
        <v>0.25815735764925563</v>
      </c>
      <c r="AR178" s="2">
        <f>0.153866354326892*(8350/2783.333)</f>
        <v>0.46159911826200878</v>
      </c>
      <c r="AS178" s="2">
        <f>0.203873223704832*(8350/2783.333)</f>
        <v>0.61161974436236932</v>
      </c>
      <c r="AT178" s="2">
        <f>0.206413402837287*(8350/2783.333)</f>
        <v>0.61924028267237474</v>
      </c>
      <c r="AU178" s="2">
        <f>0.139491020772704*(8350/2783.333)</f>
        <v>0.41847311243465241</v>
      </c>
      <c r="AV178" s="2">
        <f>0.136617856402091*(8350/2783.333)</f>
        <v>0.40985361829053951</v>
      </c>
      <c r="AW178" s="2">
        <f>0.118906683801557*(8350/2783.333)</f>
        <v>0.35672009412564065</v>
      </c>
    </row>
    <row r="179" spans="1:49" x14ac:dyDescent="0.25">
      <c r="A179" s="5">
        <v>45801</v>
      </c>
      <c r="B179" s="2">
        <f>0.331074574460925*(8350/2783.333)</f>
        <v>0.9932238423317391</v>
      </c>
      <c r="C179" s="2">
        <f>0.28882696342263*(8350/2783.333)</f>
        <v>0.86648099403806922</v>
      </c>
      <c r="D179" s="2">
        <f>0.226903267141745*(8350/2783.333)</f>
        <v>0.68070988294737722</v>
      </c>
      <c r="E179" s="2">
        <f>0.247858299848324*(8350/2783.333)</f>
        <v>0.7435749885958679</v>
      </c>
      <c r="F179" s="2">
        <f>0.181618111467405*(8350/2783.333)</f>
        <v>0.54485439965423776</v>
      </c>
      <c r="G179" s="2">
        <f>0.207524849227197*(8350/2783.333)</f>
        <v>0.62257462224142657</v>
      </c>
      <c r="H179" s="2">
        <f>0.205801532358473*(8350/2783.333)</f>
        <v>0.61740467101609697</v>
      </c>
      <c r="I179" s="2">
        <f>0.21575204763459*(8350/2783.333)</f>
        <v>0.64725622041948561</v>
      </c>
      <c r="J179" s="2">
        <f>0.186568833667615*(8350/2783.333)</f>
        <v>0.55970656803357177</v>
      </c>
      <c r="K179" s="2">
        <f>0.241462604004137*(8350/2783.333)</f>
        <v>0.72438789876545184</v>
      </c>
      <c r="L179" s="2">
        <f>0.185560004238118*(8350/2783.333)</f>
        <v>0.55668007938262754</v>
      </c>
      <c r="M179" s="2">
        <f>0.233052353432378*(8350/2783.333)</f>
        <v>0.69915714402852758</v>
      </c>
      <c r="N179" s="2">
        <f>0.423939935717881*(8350/2783.333)</f>
        <v>1.2718199594674111</v>
      </c>
      <c r="O179" s="2">
        <f>0.124318696628643*(8350/2783.333)</f>
        <v>0.37295613455133553</v>
      </c>
      <c r="P179" s="2">
        <f>0.247864073401802*(8350/2783.333)</f>
        <v>0.74359230925837771</v>
      </c>
      <c r="Q179" s="2">
        <f>0.187249116118384*(8350/2783.333)</f>
        <v>0.56174741563029129</v>
      </c>
      <c r="R179" s="2">
        <f>0.0774140014074153*(8350/2783.333)</f>
        <v>0.23224203203566288</v>
      </c>
      <c r="S179" s="2">
        <f>0.0941438845949205*(8350/2783.333)</f>
        <v>0.28243168760891568</v>
      </c>
      <c r="T179" s="2">
        <f t="shared" si="32"/>
        <v>0.10069243236843764</v>
      </c>
      <c r="U179" s="2">
        <f t="shared" si="33"/>
        <v>0.11437794326585224</v>
      </c>
      <c r="V179" s="2">
        <f t="shared" si="34"/>
        <v>0.11043877033537902</v>
      </c>
      <c r="W179" s="2">
        <f t="shared" si="35"/>
        <v>0.10705744606724045</v>
      </c>
      <c r="X179" s="2">
        <f t="shared" si="36"/>
        <v>0.11728533803050227</v>
      </c>
      <c r="Y179" s="2">
        <f t="shared" si="37"/>
        <v>0.10928020503416074</v>
      </c>
      <c r="Z179" s="2">
        <f t="shared" si="38"/>
        <v>0.10579568013572224</v>
      </c>
      <c r="AA179" s="2">
        <f t="shared" si="39"/>
        <v>0.11798772791544039</v>
      </c>
      <c r="AB179" s="2">
        <f t="shared" si="40"/>
        <v>0.10026757173055721</v>
      </c>
      <c r="AC179" s="2">
        <f t="shared" si="41"/>
        <v>0.1151901624778385</v>
      </c>
      <c r="AD179" s="2">
        <f t="shared" si="42"/>
        <v>0.10227444344259566</v>
      </c>
      <c r="AE179" s="2">
        <f t="shared" si="43"/>
        <v>0.10987695088187602</v>
      </c>
      <c r="AF179" s="2">
        <f t="shared" si="44"/>
        <v>0.11908712371493149</v>
      </c>
      <c r="AG179" s="2">
        <f t="shared" si="45"/>
        <v>9.9235315312320327E-2</v>
      </c>
      <c r="AH179" s="2">
        <f t="shared" si="46"/>
        <v>0.1199891551819615</v>
      </c>
      <c r="AI179" s="2">
        <f t="shared" si="47"/>
        <v>0.10099811712417744</v>
      </c>
      <c r="AJ179" s="2">
        <f>0.142808676260555*(8350/2783.333)</f>
        <v>0.42842608009017696</v>
      </c>
      <c r="AK179" s="2">
        <f>0.250912168665283*(8350/2783.333)</f>
        <v>0.75273659614394528</v>
      </c>
      <c r="AL179" s="2">
        <f>0.200339765319086*(8350/2783.333)</f>
        <v>0.60101936793562627</v>
      </c>
      <c r="AM179" s="2">
        <f>0.109062287603686*(8350/2783.333)</f>
        <v>0.32718690199511929</v>
      </c>
      <c r="AN179" s="2">
        <f>0.195028532019408*(8350/2783.333)</f>
        <v>0.58508566612836221</v>
      </c>
      <c r="AO179" s="2">
        <f>0.058800463766272*(8350/2783.333)</f>
        <v>0.17640141242473373</v>
      </c>
      <c r="AP179" s="2">
        <f>0.0896230040751928*(8350/2783.333)</f>
        <v>0.26886904442546389</v>
      </c>
      <c r="AQ179" s="2">
        <f>0.0709763253942222*(8350/2783.333)</f>
        <v>0.21292900168314588</v>
      </c>
      <c r="AR179" s="2">
        <f>0.0702362339284116*(8350/2783.333)</f>
        <v>0.21070872701981294</v>
      </c>
      <c r="AS179" s="2">
        <f>0.0853759320088846*(8350/2783.333)</f>
        <v>0.25612782670064504</v>
      </c>
      <c r="AT179" s="2">
        <f>0.136734533730181*(8350/2783.333)</f>
        <v>0.41020365031672779</v>
      </c>
      <c r="AU179" s="2">
        <f>0.128709907395503*(8350/2783.333)</f>
        <v>0.38612976842959595</v>
      </c>
      <c r="AV179" s="2">
        <f>0.184635470330264*(8350/2783.333)</f>
        <v>0.5539064773268968</v>
      </c>
      <c r="AW179" s="2">
        <f>0.110513270827329*(8350/2783.333)</f>
        <v>0.33153985218735998</v>
      </c>
    </row>
    <row r="180" spans="1:49" x14ac:dyDescent="0.25">
      <c r="A180" s="5">
        <v>45802</v>
      </c>
      <c r="B180" s="2">
        <f>0.399250720964868*(8350/2783.333)</f>
        <v>1.1977523063379927</v>
      </c>
      <c r="C180" s="2">
        <f>0.349860281816431*(8350/2783.333)</f>
        <v>1.0495809711476116</v>
      </c>
      <c r="D180" s="2">
        <f>0.253505719151467*(8350/2783.333)</f>
        <v>0.76051724853431124</v>
      </c>
      <c r="E180" s="2">
        <f>0.252491165266049*(8350/2783.333)</f>
        <v>0.75747358651354801</v>
      </c>
      <c r="F180" s="2">
        <f>0.19763175140324*(8350/2783.333)</f>
        <v>0.59289532521514909</v>
      </c>
      <c r="G180" s="2">
        <f>0.238321915893334*(8350/2783.333)</f>
        <v>0.71496583330465202</v>
      </c>
      <c r="H180" s="2">
        <f>0.246866339279189*(8350/2783.333)</f>
        <v>0.74059910653207051</v>
      </c>
      <c r="I180" s="2">
        <f>0.242779301981904*(8350/2783.333)</f>
        <v>0.72833799317181869</v>
      </c>
      <c r="J180" s="2">
        <f>0.202809432776685*(8350/2783.333)</f>
        <v>0.60842837119572935</v>
      </c>
      <c r="K180" s="2">
        <f>0.257176005566228*(8350/2783.333)</f>
        <v>0.77152810909726055</v>
      </c>
      <c r="L180" s="2">
        <f>0.237566731883331*(8350/2783.333)</f>
        <v>0.71270028100331917</v>
      </c>
      <c r="M180" s="2">
        <f>0.176221061196505*(8350/2783.333)</f>
        <v>0.52866324690247812</v>
      </c>
      <c r="N180" s="2">
        <f>0.104408999038326*(8350/2783.333)</f>
        <v>0.31322703462719681</v>
      </c>
      <c r="O180" s="2">
        <f>0.0623471409074164*(8350/2783.333)</f>
        <v>0.18704144512242216</v>
      </c>
      <c r="P180" s="2">
        <f>0.307351451018235*(8350/2783.333)</f>
        <v>0.922054463480388</v>
      </c>
      <c r="Q180" s="2">
        <f>0.0259413133161489*(8350/2783.333)</f>
        <v>7.7823949268680234E-2</v>
      </c>
      <c r="R180" s="2">
        <f>0.026424971634262*(8350/2783.333)</f>
        <v>7.9274924396788779E-2</v>
      </c>
      <c r="S180" s="2">
        <f>0.00909081700671082*(8350/2783.333)</f>
        <v>2.7272454286294635E-2</v>
      </c>
      <c r="T180" s="2">
        <f t="shared" si="32"/>
        <v>0.10069243236843764</v>
      </c>
      <c r="U180" s="2">
        <f t="shared" si="33"/>
        <v>0.11437794326585224</v>
      </c>
      <c r="V180" s="2">
        <f t="shared" si="34"/>
        <v>0.11043877033537902</v>
      </c>
      <c r="W180" s="2">
        <f t="shared" si="35"/>
        <v>0.10705744606724045</v>
      </c>
      <c r="X180" s="2">
        <f t="shared" si="36"/>
        <v>0.11728533803050227</v>
      </c>
      <c r="Y180" s="2">
        <f t="shared" si="37"/>
        <v>0.10928020503416074</v>
      </c>
      <c r="Z180" s="2">
        <f t="shared" si="38"/>
        <v>0.10579568013572224</v>
      </c>
      <c r="AA180" s="2">
        <f t="shared" si="39"/>
        <v>0.11798772791544039</v>
      </c>
      <c r="AB180" s="2">
        <f t="shared" si="40"/>
        <v>0.10026757173055721</v>
      </c>
      <c r="AC180" s="2">
        <f t="shared" si="41"/>
        <v>0.1151901624778385</v>
      </c>
      <c r="AD180" s="2">
        <f t="shared" si="42"/>
        <v>0.10227444344259566</v>
      </c>
      <c r="AE180" s="2">
        <f t="shared" si="43"/>
        <v>0.10987695088187602</v>
      </c>
      <c r="AF180" s="2">
        <f t="shared" si="44"/>
        <v>0.11908712371493149</v>
      </c>
      <c r="AG180" s="2">
        <f t="shared" si="45"/>
        <v>9.9235315312320327E-2</v>
      </c>
      <c r="AH180" s="2">
        <f t="shared" si="46"/>
        <v>0.1199891551819615</v>
      </c>
      <c r="AI180" s="2">
        <f t="shared" si="47"/>
        <v>0.10099811712417744</v>
      </c>
      <c r="AJ180" s="2">
        <f>0.00939929716364587*(8350/2783.333)</f>
        <v>2.8197894867930999E-2</v>
      </c>
      <c r="AK180" s="2">
        <f>0.00959281887370258*(8350/2783.333)</f>
        <v>2.8778460067629904E-2</v>
      </c>
      <c r="AL180" s="2">
        <f>0.118421783804108*(8350/2783.333)</f>
        <v>0.35526539395907897</v>
      </c>
      <c r="AM180" s="2">
        <f>0.0247868835462924*(8350/2783.333)</f>
        <v>7.4360659544345328E-2</v>
      </c>
      <c r="AN180" s="2">
        <f>0.119874225094731*(8350/2783.333)</f>
        <v>0.35962271835278292</v>
      </c>
      <c r="AO180" s="2">
        <f>0.0240276006760655*(8350/2783.333)</f>
        <v>7.2082810660868343E-2</v>
      </c>
      <c r="AP180" s="2">
        <f>0.00433122324526954*(8350/2783.333)</f>
        <v>1.2993671291936923E-2</v>
      </c>
      <c r="AQ180" s="2">
        <f>0.035742254554131*(8350/2783.333)</f>
        <v>0.10722677650392312</v>
      </c>
      <c r="AR180" s="2">
        <f>0.148639471801987*(8350/2783.333)</f>
        <v>0.44591846880937158</v>
      </c>
      <c r="AS180" s="2">
        <f>0.134414838341671*(8350/2783.333)</f>
        <v>0.40324456331777625</v>
      </c>
      <c r="AT180" s="2">
        <f>0.121815058227247*(8350/2783.333)</f>
        <v>0.36544521844763628</v>
      </c>
      <c r="AU180" s="2">
        <f>0.256922224942828*(8350/2783.333)</f>
        <v>0.77076676713588177</v>
      </c>
      <c r="AV180" s="2">
        <f>0.128253497846861*(8350/2783.333)</f>
        <v>0.38476053961968987</v>
      </c>
      <c r="AW180" s="2">
        <f>0.0913949412749223*(8350/2783.333)</f>
        <v>0.27418485666127662</v>
      </c>
    </row>
    <row r="181" spans="1:49" x14ac:dyDescent="0.25">
      <c r="A181" s="5">
        <v>45803</v>
      </c>
      <c r="B181" s="2">
        <f>0.273638505830892*(8350/2783.333)</f>
        <v>0.82091561580592254</v>
      </c>
      <c r="C181" s="2">
        <f>0.28690465418188*(8350/2783.333)</f>
        <v>0.86071406562517028</v>
      </c>
      <c r="D181" s="2">
        <f>0.233162667614621*(8350/2783.333)</f>
        <v>0.6994880866148907</v>
      </c>
      <c r="E181" s="2">
        <f>0.248784872931869*(8350/2783.333)</f>
        <v>0.7463547081794043</v>
      </c>
      <c r="F181" s="2">
        <f>0.193335408981431*(8350/2783.333)</f>
        <v>0.58000629640612456</v>
      </c>
      <c r="G181" s="2">
        <f>0.227424492303778*(8350/2783.333)</f>
        <v>0.68227355862074102</v>
      </c>
      <c r="H181" s="2">
        <f>0.22155895826991*(8350/2783.333)</f>
        <v>0.66467695441176133</v>
      </c>
      <c r="I181" s="2">
        <f>0.216218034778509*(8350/2783.333)</f>
        <v>0.64865418201866343</v>
      </c>
      <c r="J181" s="2">
        <f>0.180627151066735*(8350/2783.333)</f>
        <v>0.54188151809619667</v>
      </c>
      <c r="K181" s="2">
        <f>0.230987002962743*(8350/2783.333)</f>
        <v>0.69296109187758037</v>
      </c>
      <c r="L181" s="2">
        <f>0.228413547817773*(8350/2783.333)</f>
        <v>0.68524072551807735</v>
      </c>
      <c r="M181" s="2">
        <f>0.311030173011831*(8350/2783.333)</f>
        <v>0.93309063078287358</v>
      </c>
      <c r="N181" s="2">
        <f>0.253733567474271*(8350/2783.333)</f>
        <v>0.76120079358458437</v>
      </c>
      <c r="O181" s="2">
        <f>0.0454458075288999*(8350/2783.333)</f>
        <v>0.13633743891453656</v>
      </c>
      <c r="P181" s="2">
        <f>0.191394171461566*(8350/2783.333)</f>
        <v>0.57418258314907777</v>
      </c>
      <c r="Q181" s="2">
        <f>0.000943320484223597*(8350/2783.333)</f>
        <v>2.8299617915883714E-3</v>
      </c>
      <c r="R181" s="2">
        <f>0.0253084235370396*(8350/2783.333)</f>
        <v>7.5925279703966758E-2</v>
      </c>
      <c r="S181" s="2">
        <f>0.0910622517112897*(8350/2783.333)</f>
        <v>0.27318678785084971</v>
      </c>
      <c r="T181" s="2">
        <f t="shared" si="32"/>
        <v>0.10069243236843764</v>
      </c>
      <c r="U181" s="2">
        <f t="shared" si="33"/>
        <v>0.11437794326585224</v>
      </c>
      <c r="V181" s="2">
        <f t="shared" si="34"/>
        <v>0.11043877033537902</v>
      </c>
      <c r="W181" s="2">
        <f t="shared" si="35"/>
        <v>0.10705744606724045</v>
      </c>
      <c r="X181" s="2">
        <f t="shared" si="36"/>
        <v>0.11728533803050227</v>
      </c>
      <c r="Y181" s="2">
        <f t="shared" si="37"/>
        <v>0.10928020503416074</v>
      </c>
      <c r="Z181" s="2">
        <f t="shared" si="38"/>
        <v>0.10579568013572224</v>
      </c>
      <c r="AA181" s="2">
        <f t="shared" si="39"/>
        <v>0.11798772791544039</v>
      </c>
      <c r="AB181" s="2">
        <f t="shared" si="40"/>
        <v>0.10026757173055721</v>
      </c>
      <c r="AC181" s="2">
        <f t="shared" si="41"/>
        <v>0.1151901624778385</v>
      </c>
      <c r="AD181" s="2">
        <f t="shared" si="42"/>
        <v>0.10227444344259566</v>
      </c>
      <c r="AE181" s="2">
        <f t="shared" si="43"/>
        <v>0.10987695088187602</v>
      </c>
      <c r="AF181" s="2">
        <f t="shared" si="44"/>
        <v>0.11908712371493149</v>
      </c>
      <c r="AG181" s="2">
        <f t="shared" si="45"/>
        <v>9.9235315312320327E-2</v>
      </c>
      <c r="AH181" s="2">
        <f t="shared" si="46"/>
        <v>0.1199891551819615</v>
      </c>
      <c r="AI181" s="2">
        <f t="shared" si="47"/>
        <v>0.10099811712417744</v>
      </c>
      <c r="AJ181" s="2">
        <f>0.0429032435050287*(8350/2783.333)</f>
        <v>0.12870974592942694</v>
      </c>
      <c r="AK181" s="2">
        <f>0.251211944255086*(8350/2783.333)</f>
        <v>0.75363592302105842</v>
      </c>
      <c r="AL181" s="2">
        <f>0.148602092783311*(8350/2783.333)</f>
        <v>0.44580633173991224</v>
      </c>
      <c r="AM181" s="2">
        <f>0.240598016289344*(8350/2783.333)</f>
        <v>0.7217941353104449</v>
      </c>
      <c r="AN181" s="2">
        <f>0.109625910514094*(8350/2783.333)</f>
        <v>0.32887777092884019</v>
      </c>
      <c r="AO181" s="2">
        <f>0.0893946136954237*(8350/2783.333)</f>
        <v>0.2681838732041002</v>
      </c>
      <c r="AP181" s="2">
        <f>0.0866244649053908*(8350/2783.333)</f>
        <v>0.25987342583873835</v>
      </c>
      <c r="AQ181" s="2">
        <f>0.0716539036796086*(8350/2783.333)</f>
        <v>0.21496173678274633</v>
      </c>
      <c r="AR181" s="2">
        <f>0.181470827661547*(8350/2783.333)</f>
        <v>0.54441254818374885</v>
      </c>
      <c r="AS181" s="2">
        <f>0.189241943454722*(8350/2783.333)</f>
        <v>0.5677258983552903</v>
      </c>
      <c r="AT181" s="2">
        <f>0.184935916124273*(8350/2783.333)</f>
        <v>0.55480781481686925</v>
      </c>
      <c r="AU181" s="2">
        <f>0.116104297908315*(8350/2783.333)</f>
        <v>0.34831293543906838</v>
      </c>
      <c r="AV181" s="2">
        <f>0.102695735594769*(8350/2783.333)</f>
        <v>0.3080872436809835</v>
      </c>
      <c r="AW181" s="2">
        <f>0.106471997913812*(8350/2783.333)</f>
        <v>0.31941603199485447</v>
      </c>
    </row>
    <row r="182" spans="1:49" x14ac:dyDescent="0.25">
      <c r="A182" s="5">
        <v>45804</v>
      </c>
      <c r="B182" s="2">
        <f>0.305858739452618*(8350/2783.333)</f>
        <v>0.91757632824723423</v>
      </c>
      <c r="C182" s="2">
        <f>0.231638263510329*(8350/2783.333)</f>
        <v>0.69491487375432548</v>
      </c>
      <c r="D182" s="2">
        <f>0.226120842082636*(8350/2783.333)</f>
        <v>0.67836260748893795</v>
      </c>
      <c r="E182" s="2">
        <f>0.233033130511602*(8350/2783.333)</f>
        <v>0.69909947525929317</v>
      </c>
      <c r="F182" s="2">
        <f>0.178102922213197*(8350/2783.333)</f>
        <v>0.53430883062867185</v>
      </c>
      <c r="G182" s="2">
        <f>0.218896073842386*(8350/2783.333)</f>
        <v>0.65668830017246338</v>
      </c>
      <c r="H182" s="2">
        <f>0.218693971740558*(8350/2783.333)</f>
        <v>0.65608199379436782</v>
      </c>
      <c r="I182" s="2">
        <f>0.204568356180529*(8350/2783.333)</f>
        <v>0.61370514203920967</v>
      </c>
      <c r="J182" s="2">
        <f>0.179834926719952*(8350/2783.333)</f>
        <v>0.53950484477121374</v>
      </c>
      <c r="K182" s="2">
        <f>0.243557724212416*(8350/2783.333)</f>
        <v>0.73067326014302647</v>
      </c>
      <c r="L182" s="2">
        <f>0.232158032208229*(8350/2783.333)</f>
        <v>0.69647418003476791</v>
      </c>
      <c r="M182" s="2">
        <f>0.302219119952006*(8350/2783.333)</f>
        <v>0.90665746843775008</v>
      </c>
      <c r="N182" s="2">
        <f>0.42512192438624*(8350/2783.333)</f>
        <v>1.2753659258971533</v>
      </c>
      <c r="O182" s="2">
        <f>0.374458430630687*(8350/2783.333)</f>
        <v>1.1233754264280407</v>
      </c>
      <c r="P182" s="2">
        <f>0.398737857211595*(8350/2783.333)</f>
        <v>1.1962137148939116</v>
      </c>
      <c r="Q182" s="2">
        <f>0.245734986140247*(8350/2783.333)</f>
        <v>0.73720504670877085</v>
      </c>
      <c r="R182" s="2">
        <f>0.0487559335787087*(8350/2783.333)</f>
        <v>0.14626781825323007</v>
      </c>
      <c r="S182" s="2">
        <f>0.0246530630690463*(8350/2783.333)</f>
        <v>7.3959198064527887E-2</v>
      </c>
      <c r="T182" s="2">
        <f t="shared" si="32"/>
        <v>0.10069243236843764</v>
      </c>
      <c r="U182" s="2">
        <f t="shared" si="33"/>
        <v>0.11437794326585224</v>
      </c>
      <c r="V182" s="2">
        <f t="shared" si="34"/>
        <v>0.11043877033537902</v>
      </c>
      <c r="W182" s="2">
        <f t="shared" si="35"/>
        <v>0.10705744606724045</v>
      </c>
      <c r="X182" s="2">
        <f t="shared" si="36"/>
        <v>0.11728533803050227</v>
      </c>
      <c r="Y182" s="2">
        <f t="shared" si="37"/>
        <v>0.10928020503416074</v>
      </c>
      <c r="Z182" s="2">
        <f t="shared" si="38"/>
        <v>0.10579568013572224</v>
      </c>
      <c r="AA182" s="2">
        <f t="shared" si="39"/>
        <v>0.11798772791544039</v>
      </c>
      <c r="AB182" s="2">
        <f t="shared" si="40"/>
        <v>0.10026757173055721</v>
      </c>
      <c r="AC182" s="2">
        <f t="shared" si="41"/>
        <v>0.1151901624778385</v>
      </c>
      <c r="AD182" s="2">
        <f t="shared" si="42"/>
        <v>0.10227444344259566</v>
      </c>
      <c r="AE182" s="2">
        <f t="shared" si="43"/>
        <v>0.10987695088187602</v>
      </c>
      <c r="AF182" s="2">
        <f t="shared" si="44"/>
        <v>0.11908712371493149</v>
      </c>
      <c r="AG182" s="2">
        <f t="shared" si="45"/>
        <v>9.9235315312320327E-2</v>
      </c>
      <c r="AH182" s="2">
        <f t="shared" si="46"/>
        <v>0.1199891551819615</v>
      </c>
      <c r="AI182" s="2">
        <f t="shared" si="47"/>
        <v>0.10099811712417744</v>
      </c>
      <c r="AJ182" s="2">
        <f>0.0383551964903614*(8350/2783.333)</f>
        <v>0.11506560325139584</v>
      </c>
      <c r="AK182" s="2">
        <f>0.0863353698633232*(8350/2783.333)</f>
        <v>0.25900614060866911</v>
      </c>
      <c r="AL182" s="2">
        <f>0.104050208099726*(8350/2783.333)</f>
        <v>0.31215066168249167</v>
      </c>
      <c r="AM182" s="2">
        <f>0.07997901090937*(8350/2783.333)</f>
        <v>0.23993706146308749</v>
      </c>
      <c r="AN182" s="2">
        <f>0.146271399014555*(8350/2783.333)</f>
        <v>0.43881424959627119</v>
      </c>
      <c r="AO182" s="2">
        <f>0.0216397645840341*(8350/2783.333)</f>
        <v>6.4919301526869005E-2</v>
      </c>
      <c r="AP182" s="2">
        <f>0.0501422383394666*(8350/2783.333)</f>
        <v>0.15042673303357745</v>
      </c>
      <c r="AQ182" s="2">
        <f>0.0469222962630061*(8350/2783.333)</f>
        <v>0.14076690564733033</v>
      </c>
      <c r="AR182" s="2">
        <f>0.167423580875865*(8350/2783.333)</f>
        <v>0.50227080277978664</v>
      </c>
      <c r="AS182" s="2">
        <f>0.263202261202531*(8350/2783.333)</f>
        <v>0.78960687817129194</v>
      </c>
      <c r="AT182" s="2">
        <f>0.162474727729747*(8350/2783.333)</f>
        <v>0.48742424156340197</v>
      </c>
      <c r="AU182" s="2">
        <f>0.152760083390797*(8350/2783.333)</f>
        <v>0.45828030505626016</v>
      </c>
      <c r="AV182" s="2">
        <f>0.105328959584379*(8350/2783.333)</f>
        <v>0.31598691659588057</v>
      </c>
      <c r="AW182" s="2">
        <f>0.099632920675553*(8350/2783.333)</f>
        <v>0.29889879782292234</v>
      </c>
    </row>
    <row r="183" spans="1:49" x14ac:dyDescent="0.25">
      <c r="A183" s="5">
        <v>45805</v>
      </c>
      <c r="B183" s="2">
        <f>0.261030588326738*(8350/2783.333)</f>
        <v>0.78309185876367005</v>
      </c>
      <c r="C183" s="2">
        <f>0.270084448325321*(8350/2783.333)</f>
        <v>0.81025344201230465</v>
      </c>
      <c r="D183" s="2">
        <f>0.21986144160976*(8350/2783.333)</f>
        <v>0.65958440382142425</v>
      </c>
      <c r="E183" s="2">
        <f>0.214501668840699*(8350/2783.333)</f>
        <v>0.64350508358857406</v>
      </c>
      <c r="F183" s="2">
        <f>0.167166777866773*(8350/2783.333)</f>
        <v>0.5015003936602449</v>
      </c>
      <c r="G183" s="2">
        <f>0.19141561435568*(8350/2783.333)</f>
        <v>0.57424691183912402</v>
      </c>
      <c r="H183" s="2">
        <f>0.18431413338833*(8350/2783.333)</f>
        <v>0.55294246638564615</v>
      </c>
      <c r="I183" s="2">
        <f>0.206898291900125*(8350/2783.333)</f>
        <v>0.62069495003510045</v>
      </c>
      <c r="J183" s="2">
        <f>0.176666029332816*(8350/2783.333)</f>
        <v>0.52999815147128015</v>
      </c>
      <c r="K183" s="2">
        <f>0.223654082233767*(8350/2783.333)</f>
        <v>0.67096232705606951</v>
      </c>
      <c r="L183" s="2">
        <f>0.202618210905748*(8350/2783.333)</f>
        <v>0.60785470551421439</v>
      </c>
      <c r="M183" s="2">
        <f>0.501789471757048*(8350/2783.333)</f>
        <v>1.5053685955548068</v>
      </c>
      <c r="N183" s="2">
        <f>0.133170723301714*(8350/2783.333)</f>
        <v>0.39951221775091533</v>
      </c>
      <c r="O183" s="2">
        <f>0.0567133631145775*(8350/2783.333)</f>
        <v>0.1701401097197936</v>
      </c>
      <c r="P183" s="2">
        <f>0.0396582517442883*(8350/2783.333)</f>
        <v>0.11897476948134041</v>
      </c>
      <c r="Q183" s="2">
        <f>0.172627648612918*(8350/2783.333)</f>
        <v>0.51788300786067176</v>
      </c>
      <c r="R183" s="2">
        <f>0.0320077121203736*(8350/2783.333)</f>
        <v>9.6023147860899119E-2</v>
      </c>
      <c r="S183" s="2">
        <f>0.0093989802950739*(8350/2783.333)</f>
        <v>2.8196944262101238E-2</v>
      </c>
      <c r="T183" s="2">
        <f t="shared" si="32"/>
        <v>0.10069243236843764</v>
      </c>
      <c r="U183" s="2">
        <f t="shared" si="33"/>
        <v>0.11437794326585224</v>
      </c>
      <c r="V183" s="2">
        <f t="shared" si="34"/>
        <v>0.11043877033537902</v>
      </c>
      <c r="W183" s="2">
        <f t="shared" si="35"/>
        <v>0.10705744606724045</v>
      </c>
      <c r="X183" s="2">
        <f t="shared" si="36"/>
        <v>0.11728533803050227</v>
      </c>
      <c r="Y183" s="2">
        <f t="shared" si="37"/>
        <v>0.10928020503416074</v>
      </c>
      <c r="Z183" s="2">
        <f t="shared" si="38"/>
        <v>0.10579568013572224</v>
      </c>
      <c r="AA183" s="2">
        <f t="shared" si="39"/>
        <v>0.11798772791544039</v>
      </c>
      <c r="AB183" s="2">
        <f t="shared" si="40"/>
        <v>0.10026757173055721</v>
      </c>
      <c r="AC183" s="2">
        <f t="shared" si="41"/>
        <v>0.1151901624778385</v>
      </c>
      <c r="AD183" s="2">
        <f t="shared" si="42"/>
        <v>0.10227444344259566</v>
      </c>
      <c r="AE183" s="2">
        <f t="shared" si="43"/>
        <v>0.10987695088187602</v>
      </c>
      <c r="AF183" s="2">
        <f t="shared" si="44"/>
        <v>0.11908712371493149</v>
      </c>
      <c r="AG183" s="2">
        <f t="shared" si="45"/>
        <v>9.9235315312320327E-2</v>
      </c>
      <c r="AH183" s="2">
        <f t="shared" si="46"/>
        <v>0.1199891551819615</v>
      </c>
      <c r="AI183" s="2">
        <f t="shared" si="47"/>
        <v>0.10099811712417744</v>
      </c>
      <c r="AJ183" s="2">
        <f>0.00318363291026715*(8350/2783.333)</f>
        <v>9.5508998746217915E-3</v>
      </c>
      <c r="AK183" s="2">
        <f>0.0518611770359546*(8350/2783.333)</f>
        <v>0.15558354974062416</v>
      </c>
      <c r="AL183" s="2">
        <f>0.0934152420784836*(8350/2783.333)</f>
        <v>0.28024575979781718</v>
      </c>
      <c r="AM183" s="2">
        <f>0.177143594410836*(8350/2783.333)</f>
        <v>0.5314308468769211</v>
      </c>
      <c r="AN183" s="2">
        <f>0.0363349335131698*(8350/2783.333)</f>
        <v>0.10900481359397823</v>
      </c>
      <c r="AO183" s="2">
        <f>0.0370114594264859*(8350/2783.333)</f>
        <v>0.11103439157698974</v>
      </c>
      <c r="AP183" s="2">
        <f>0.0433122324526954*(8350/2783.333)</f>
        <v>0.12993671291936915</v>
      </c>
      <c r="AQ183" s="2">
        <f>0.057763548829188*(8350/2783.333)</f>
        <v>0.17329066724093733</v>
      </c>
      <c r="AR183" s="2">
        <f>0.0890203430022892*(8350/2783.333)</f>
        <v>0.26706106099022808</v>
      </c>
      <c r="AS183" s="2">
        <f>0.133610921844413*(8350/2783.333)</f>
        <v>0.40083281353716788</v>
      </c>
      <c r="AT183" s="2">
        <f>0.165589783054535*(8350/2783.333)</f>
        <v>0.49676940865694852</v>
      </c>
      <c r="AU183" s="2">
        <f>0.117928794018303*(8350/2783.333)</f>
        <v>0.35378642442453972</v>
      </c>
      <c r="AV183" s="2">
        <f>0.0986684518459548*(8350/2783.333)</f>
        <v>0.29600539098761175</v>
      </c>
      <c r="AW183" s="2">
        <f>0.08517759833105*(8350/2783.333)</f>
        <v>0.25553282559588364</v>
      </c>
    </row>
    <row r="184" spans="1:49" x14ac:dyDescent="0.25">
      <c r="A184" s="5">
        <v>45806</v>
      </c>
      <c r="B184" s="2">
        <f>0.234413873595747*(8350/2783.333)</f>
        <v>0.70324170500780414</v>
      </c>
      <c r="C184" s="2">
        <f>0.276331953357758*(8350/2783.333)</f>
        <v>0.82899595935422621</v>
      </c>
      <c r="D184" s="2">
        <f>0.21986144160976*(8350/2783.333)</f>
        <v>0.65958440382142425</v>
      </c>
      <c r="E184" s="2">
        <f>0.239519142096418*(8350/2783.333)</f>
        <v>0.71855751234404464</v>
      </c>
      <c r="F184" s="2">
        <f>0.176931192461794*(8350/2783.333)</f>
        <v>0.53079364095348369</v>
      </c>
      <c r="G184" s="2">
        <f>0.283333013328456*(8350/2783.333)</f>
        <v>0.84999914178167291</v>
      </c>
      <c r="H184" s="2">
        <f>0.235883890916672*(8350/2783.333)</f>
        <v>0.70765175749872888</v>
      </c>
      <c r="I184" s="2">
        <f>0.257690890587318*(8350/2783.333)</f>
        <v>0.77307276434551953</v>
      </c>
      <c r="J184" s="2">
        <f>0.197263862349198*(8350/2783.333)</f>
        <v>0.59179165792084709</v>
      </c>
      <c r="K184" s="2">
        <f>0.261366245982786*(8350/2783.333)</f>
        <v>0.78409883185240914</v>
      </c>
      <c r="L184" s="2">
        <f>0.218844309931054*(8350/2783.333)</f>
        <v>0.65653300841987017</v>
      </c>
      <c r="M184" s="2">
        <f>0.674926664382614*(8350/2783.333)</f>
        <v>2.0247802356364919</v>
      </c>
      <c r="N184" s="2">
        <f>0.336866770482145*(8350/2783.333)</f>
        <v>1.0106004324764282</v>
      </c>
      <c r="O184" s="2">
        <f>0.330890549032734*(8350/2783.333)</f>
        <v>0.99267176598104723</v>
      </c>
      <c r="P184" s="2">
        <f>0.400462129026564*(8350/2783.333)</f>
        <v>1.2013865309583176</v>
      </c>
      <c r="Q184" s="2">
        <f>0.127819925612297*(8350/2783.333)</f>
        <v>0.38345982276022428</v>
      </c>
      <c r="R184" s="2">
        <f>0.0818801937963047*(8350/2783.333)</f>
        <v>0.24564061080695118</v>
      </c>
      <c r="S184" s="2">
        <f>0.0134051030437939*(8350/2783.333)</f>
        <v>4.0215313947586991E-2</v>
      </c>
      <c r="T184" s="2">
        <f t="shared" si="32"/>
        <v>0.10069243236843764</v>
      </c>
      <c r="U184" s="2">
        <f t="shared" si="33"/>
        <v>0.11437794326585224</v>
      </c>
      <c r="V184" s="2">
        <f t="shared" si="34"/>
        <v>0.11043877033537902</v>
      </c>
      <c r="W184" s="2">
        <f t="shared" si="35"/>
        <v>0.10705744606724045</v>
      </c>
      <c r="X184" s="2">
        <f t="shared" si="36"/>
        <v>0.11728533803050227</v>
      </c>
      <c r="Y184" s="2">
        <f t="shared" si="37"/>
        <v>0.10928020503416074</v>
      </c>
      <c r="Z184" s="2">
        <f t="shared" si="38"/>
        <v>0.10579568013572224</v>
      </c>
      <c r="AA184" s="2">
        <f t="shared" si="39"/>
        <v>0.11798772791544039</v>
      </c>
      <c r="AB184" s="2">
        <f t="shared" si="40"/>
        <v>0.10026757173055721</v>
      </c>
      <c r="AC184" s="2">
        <f t="shared" si="41"/>
        <v>0.1151901624778385</v>
      </c>
      <c r="AD184" s="2">
        <f t="shared" si="42"/>
        <v>0.10227444344259566</v>
      </c>
      <c r="AE184" s="2">
        <f t="shared" si="43"/>
        <v>0.10987695088187602</v>
      </c>
      <c r="AF184" s="2">
        <f t="shared" si="44"/>
        <v>0.11908712371493149</v>
      </c>
      <c r="AG184" s="2">
        <f t="shared" si="45"/>
        <v>9.9235315312320327E-2</v>
      </c>
      <c r="AH184" s="2">
        <f t="shared" si="46"/>
        <v>0.1199891551819615</v>
      </c>
      <c r="AI184" s="2">
        <f t="shared" si="47"/>
        <v>0.10099811712417744</v>
      </c>
      <c r="AJ184" s="2">
        <f>0*(8350/2783.333)</f>
        <v>0</v>
      </c>
      <c r="AK184" s="2">
        <f>0.176268046804285*(8350/2783.333)</f>
        <v>0.52880420374269943</v>
      </c>
      <c r="AL184" s="2">
        <f>0.0965769887334477*(8350/2783.333)</f>
        <v>0.28973100089866644</v>
      </c>
      <c r="AM184" s="2">
        <f>0.265715391616254*(8350/2783.333)</f>
        <v>0.79714627031538177</v>
      </c>
      <c r="AN184" s="2">
        <f>0.0472043580683916*(8350/2783.333)</f>
        <v>0.14161309116482645</v>
      </c>
      <c r="AO184" s="2">
        <f>0.0353698221132144*(8350/2783.333)</f>
        <v>0.10610947904736517</v>
      </c>
      <c r="AP184" s="2">
        <f>0.0496424818111663*(8350/2783.333)</f>
        <v>0.14892746326912312</v>
      </c>
      <c r="AQ184" s="2">
        <f>0.0679272231099836*(8350/2783.333)</f>
        <v>0.20378169373494393</v>
      </c>
      <c r="AR184" s="2">
        <f>0.111887954048749*(8350/2783.333)</f>
        <v>0.33566390234551585</v>
      </c>
      <c r="AS184" s="2">
        <f>0.234261267301214*(8350/2783.333)</f>
        <v>0.70278388606937836</v>
      </c>
      <c r="AT184" s="2">
        <f>0.246089370658275*(8350/2783.333)</f>
        <v>0.73826820039017826</v>
      </c>
      <c r="AU184" s="2">
        <f>0.193562450941434*(8350/2783.333)</f>
        <v>0.58068742236770443</v>
      </c>
      <c r="AV184" s="2">
        <f>0.107032810401185*(8350/2783.333)</f>
        <v>0.32109846965846095</v>
      </c>
      <c r="AW184" s="2">
        <f>0.102741592147489*(8350/2783.333)</f>
        <v>0.30822481335561885</v>
      </c>
    </row>
    <row r="185" spans="1:49" x14ac:dyDescent="0.25">
      <c r="A185" s="5">
        <v>45807</v>
      </c>
      <c r="B185" s="2">
        <f>0.261030588326738*(8350/2783.333)</f>
        <v>0.78309185876367005</v>
      </c>
      <c r="C185" s="2">
        <f>0.265759252533635*(8350/2783.333)</f>
        <v>0.7972778530832817</v>
      </c>
      <c r="D185" s="2">
        <f>0.229250542319073*(8350/2783.333)</f>
        <v>0.68775170932269458</v>
      </c>
      <c r="E185" s="2">
        <f>0.208015657255883*(8350/2783.333)</f>
        <v>0.62404704650382192</v>
      </c>
      <c r="F185" s="2">
        <f>0.168338507618175*(8350/2783.333)</f>
        <v>0.50501558333543317</v>
      </c>
      <c r="G185" s="2">
        <f>0.22126507897055*(8350/2783.333)</f>
        <v>0.6637953164080963</v>
      </c>
      <c r="H185" s="2">
        <f>0.213918994191638*(8350/2783.333)</f>
        <v>0.64175705943204542</v>
      </c>
      <c r="I185" s="2">
        <f>0.223673829081217*(8350/2783.333)</f>
        <v>0.67102156760551424</v>
      </c>
      <c r="J185" s="2">
        <f>0.192906628441886*(8350/2783.333)</f>
        <v>0.5787199546334385</v>
      </c>
      <c r="K185" s="2">
        <f>0.230987002962743*(8350/2783.333)</f>
        <v>0.69296109187758037</v>
      </c>
      <c r="L185" s="2">
        <f>0.243391485379595*(8350/2783.333)</f>
        <v>0.73017454358483691</v>
      </c>
      <c r="M185" s="2">
        <f>0.294729724851154*(8350/2783.333)</f>
        <v>0.8841892804443946</v>
      </c>
      <c r="N185" s="2">
        <f>0.319136940456769*(8350/2783.333)</f>
        <v>0.95741093603030047</v>
      </c>
      <c r="O185" s="2">
        <f>0.0646006520245519*(8350/2783.333)</f>
        <v>0.19380197928347345</v>
      </c>
      <c r="P185" s="2">
        <f>0.0185359220109174*(8350/2783.333)</f>
        <v>5.5607772692365637E-2</v>
      </c>
      <c r="Q185" s="2">
        <f>0.0278279542845961*(8350/2783.333)</f>
        <v>8.3483872851856961E-2</v>
      </c>
      <c r="R185" s="2">
        <f>0.0673650685324143*(8350/2783.333)</f>
        <v>0.20209522980026437</v>
      </c>
      <c r="S185" s="2">
        <f>0*(8350/2783.333)</f>
        <v>0</v>
      </c>
      <c r="T185" s="2">
        <f t="shared" si="32"/>
        <v>0.10069243236843764</v>
      </c>
      <c r="U185" s="2">
        <f t="shared" si="33"/>
        <v>0.11437794326585224</v>
      </c>
      <c r="V185" s="2">
        <f t="shared" si="34"/>
        <v>0.11043877033537902</v>
      </c>
      <c r="W185" s="2">
        <f t="shared" si="35"/>
        <v>0.10705744606724045</v>
      </c>
      <c r="X185" s="2">
        <f t="shared" si="36"/>
        <v>0.11728533803050227</v>
      </c>
      <c r="Y185" s="2">
        <f t="shared" si="37"/>
        <v>0.10928020503416074</v>
      </c>
      <c r="Z185" s="2">
        <f t="shared" si="38"/>
        <v>0.10579568013572224</v>
      </c>
      <c r="AA185" s="2">
        <f t="shared" si="39"/>
        <v>0.11798772791544039</v>
      </c>
      <c r="AB185" s="2">
        <f t="shared" si="40"/>
        <v>0.10026757173055721</v>
      </c>
      <c r="AC185" s="2">
        <f t="shared" si="41"/>
        <v>0.1151901624778385</v>
      </c>
      <c r="AD185" s="2">
        <f t="shared" si="42"/>
        <v>0.10227444344259566</v>
      </c>
      <c r="AE185" s="2">
        <f t="shared" si="43"/>
        <v>0.10987695088187602</v>
      </c>
      <c r="AF185" s="2">
        <f t="shared" si="44"/>
        <v>0.11908712371493149</v>
      </c>
      <c r="AG185" s="2">
        <f t="shared" si="45"/>
        <v>9.9235315312320327E-2</v>
      </c>
      <c r="AH185" s="2">
        <f t="shared" si="46"/>
        <v>0.1199891551819615</v>
      </c>
      <c r="AI185" s="2">
        <f t="shared" si="47"/>
        <v>0.10099811712417744</v>
      </c>
      <c r="AJ185" s="2">
        <f>0.0021224219401781*(8350/2783.333)</f>
        <v>6.36726658308119E-3</v>
      </c>
      <c r="AK185" s="2">
        <f>0*(8350/2783.333)</f>
        <v>0</v>
      </c>
      <c r="AL185" s="2">
        <f>0.000862294542262925*(8350/2783.333)</f>
        <v>2.5868839365952357E-3</v>
      </c>
      <c r="AM185" s="2">
        <f>0*(8350/2783.333)</f>
        <v>0</v>
      </c>
      <c r="AN185" s="2">
        <f>0.0267077289071163*(8350/2783.333)</f>
        <v>8.01231963169413E-2</v>
      </c>
      <c r="AO185" s="2">
        <f>0.02208748385129*(8350/2783.333)</f>
        <v>6.6262459489493858E-2</v>
      </c>
      <c r="AP185" s="2">
        <f>0.0233219713206821*(8350/2783.333)</f>
        <v>6.9965922341198764E-2</v>
      </c>
      <c r="AQ185" s="2">
        <f>0.0364198328395174*(8350/2783.333)</f>
        <v>0.10925951160352353</v>
      </c>
      <c r="AR185" s="2">
        <f>0.0851001811086104*(8350/2783.333)</f>
        <v>0.25530057390075012</v>
      </c>
      <c r="AS185" s="2">
        <f>0.101454261954061*(8350/2783.333)</f>
        <v>0.30436282231281919</v>
      </c>
      <c r="AT185" s="2">
        <f>0.129520721399092*(8350/2783.333)</f>
        <v>0.38856221073167246</v>
      </c>
      <c r="AU185" s="2">
        <f>0.132358899615479*(8350/2783.333)</f>
        <v>0.39707674640053803</v>
      </c>
      <c r="AV185" s="2">
        <f>0.109975825448395*(8350/2783.333)</f>
        <v>0.32992751585746355</v>
      </c>
      <c r="AW185" s="2">
        <f>0.108492634370571*(8350/2783.333)</f>
        <v>0.32547794209110725</v>
      </c>
    </row>
    <row r="186" spans="1:49" x14ac:dyDescent="0.25">
      <c r="A186" s="5">
        <v>45808</v>
      </c>
      <c r="B186" s="2">
        <f>0.34041377261215*(8350/2783.333)</f>
        <v>1.021241440140815</v>
      </c>
      <c r="C186" s="2">
        <f>0.355627209538679*(8350/2783.333)</f>
        <v>1.0668817563863084</v>
      </c>
      <c r="D186" s="2">
        <f>0.258200269506124*(8350/2783.333)</f>
        <v>0.77460090128494641</v>
      </c>
      <c r="E186" s="2">
        <f>0.252954451807822*(8350/2783.333)</f>
        <v>0.75886344630531655</v>
      </c>
      <c r="F186" s="2">
        <f>0.190601372894825*(8350/2783.333)</f>
        <v>0.57180418716401771</v>
      </c>
      <c r="G186" s="2">
        <f>0.239743318970232*(8350/2783.333)</f>
        <v>0.71923004304603133</v>
      </c>
      <c r="H186" s="2">
        <f>0.22155895826991*(8350/2783.333)</f>
        <v>0.66467695441176133</v>
      </c>
      <c r="I186" s="2">
        <f>0.211092176195398*(8350/2783.333)</f>
        <v>0.63327660442770406</v>
      </c>
      <c r="J186" s="2">
        <f>0.15131485023573*(8350/2783.333)</f>
        <v>0.453944605071814</v>
      </c>
      <c r="K186" s="2">
        <f>0.242510164108276*(8350/2783.333)</f>
        <v>0.72753057945423982</v>
      </c>
      <c r="L186" s="2">
        <f>0.187224219522765*(8350/2783.333)</f>
        <v>0.56167272583449002</v>
      </c>
      <c r="M186" s="2">
        <f>0.161242270994802*(8350/2783.333)</f>
        <v>0.48372687091576749</v>
      </c>
      <c r="N186" s="2">
        <f>0.157598489114454*(8350/2783.333)</f>
        <v>0.47279552396558044</v>
      </c>
      <c r="O186" s="2">
        <f>0.415772801111505*(8350/2783.333)</f>
        <v>1.2473185527139832</v>
      </c>
      <c r="P186" s="2">
        <f>0.218120384593586*(8350/2783.333)</f>
        <v>0.65436123214737196</v>
      </c>
      <c r="Q186" s="2">
        <f>0.00707490363167698*(8350/2783.333)</f>
        <v>2.1224713436912786E-2</v>
      </c>
      <c r="R186" s="2">
        <f>0.046522837384264*(8350/2783.333)</f>
        <v>0.13956852886758589</v>
      </c>
      <c r="S186" s="2">
        <f>0.00600918412308003*(8350/2783.333)</f>
        <v>1.8027554528228663E-2</v>
      </c>
      <c r="T186" s="2">
        <f t="shared" si="32"/>
        <v>0.10069243236843764</v>
      </c>
      <c r="U186" s="2">
        <f t="shared" si="33"/>
        <v>0.11437794326585224</v>
      </c>
      <c r="V186" s="2">
        <f t="shared" si="34"/>
        <v>0.11043877033537902</v>
      </c>
      <c r="W186" s="2">
        <f t="shared" si="35"/>
        <v>0.10705744606724045</v>
      </c>
      <c r="X186" s="2">
        <f t="shared" si="36"/>
        <v>0.11728533803050227</v>
      </c>
      <c r="Y186" s="2">
        <f t="shared" si="37"/>
        <v>0.10928020503416074</v>
      </c>
      <c r="Z186" s="2">
        <f t="shared" si="38"/>
        <v>0.10579568013572224</v>
      </c>
      <c r="AA186" s="2">
        <f t="shared" si="39"/>
        <v>0.11798772791544039</v>
      </c>
      <c r="AB186" s="2">
        <f t="shared" si="40"/>
        <v>0.10026757173055721</v>
      </c>
      <c r="AC186" s="2">
        <f t="shared" si="41"/>
        <v>0.1151901624778385</v>
      </c>
      <c r="AD186" s="2">
        <f t="shared" si="42"/>
        <v>0.10227444344259566</v>
      </c>
      <c r="AE186" s="2">
        <f t="shared" si="43"/>
        <v>0.10987695088187602</v>
      </c>
      <c r="AF186" s="2">
        <f t="shared" si="44"/>
        <v>0.11908712371493149</v>
      </c>
      <c r="AG186" s="2">
        <f t="shared" si="45"/>
        <v>9.9235315312320327E-2</v>
      </c>
      <c r="AH186" s="2">
        <f t="shared" si="46"/>
        <v>0.1199891551819615</v>
      </c>
      <c r="AI186" s="2">
        <f t="shared" si="47"/>
        <v>0.10099811712417744</v>
      </c>
      <c r="AJ186" s="2">
        <f>0.0382035949232058*(8350/2783.333)</f>
        <v>0.1146107984954615</v>
      </c>
      <c r="AK186" s="2">
        <f>0.0212840668760276*(8350/2783.333)</f>
        <v>6.3852208275053848E-2</v>
      </c>
      <c r="AL186" s="2">
        <f>0.0557617137330025*(8350/2783.333)</f>
        <v>0.16728516123315859</v>
      </c>
      <c r="AM186" s="2">
        <f>0.0363540958678955*(8350/2783.333)</f>
        <v>0.10906230066503977</v>
      </c>
      <c r="AN186" s="2">
        <f>0.0099377595933456*(8350/2783.333)</f>
        <v>2.981328235048978E-2</v>
      </c>
      <c r="AO186" s="2">
        <f>0.0401454942972771*(8350/2783.333)</f>
        <v>0.12043649731536388</v>
      </c>
      <c r="AP186" s="2">
        <f>0.0503088238489*(8350/2783.333)</f>
        <v>0.15092648962172883</v>
      </c>
      <c r="AQ186" s="2">
        <f>0.0506489768326311*(8350/2783.333)</f>
        <v>0.15194694869513278</v>
      </c>
      <c r="AR186" s="2">
        <f>0.144882649987212*(8350/2783.333)</f>
        <v>0.4346480020152883</v>
      </c>
      <c r="AS186" s="2">
        <f>0.179434162188164*(8350/2783.333)</f>
        <v>0.53830255103186397</v>
      </c>
      <c r="AT186" s="2">
        <f>0.27248536577885*(8350/2783.333)</f>
        <v>0.81745619523549407</v>
      </c>
      <c r="AU186" s="2">
        <f>0.191572091548719*(8350/2783.333)</f>
        <v>0.5747163434744631</v>
      </c>
      <c r="AV186" s="2">
        <f>0.129647557606066*(8350/2783.333)</f>
        <v>0.38894271939816499</v>
      </c>
      <c r="AW186" s="2">
        <f>0.116419746624008*(8350/2783.333)</f>
        <v>0.34925928169948317</v>
      </c>
    </row>
    <row r="187" spans="1:49" x14ac:dyDescent="0.25">
      <c r="A187" s="5">
        <v>45809</v>
      </c>
      <c r="B187" s="2">
        <f>0.317065777234088*(8350/2783.333)</f>
        <v>0.9511974456181248</v>
      </c>
      <c r="C187" s="2">
        <f>0.321506220515374*(8350/2783.333)</f>
        <v>0.96451877705735256</v>
      </c>
      <c r="D187" s="2">
        <f>0.229641754848628*(8350/2783.333)</f>
        <v>0.68892534705191455</v>
      </c>
      <c r="E187" s="2">
        <f>0.237202709387555*(8350/2783.333)</f>
        <v>0.71160821338520464</v>
      </c>
      <c r="F187" s="2">
        <f>0.199975210906045*(8350/2783.333)</f>
        <v>0.59992570456552596</v>
      </c>
      <c r="G187" s="2">
        <f>0.249693140508523*(8350/2783.333)</f>
        <v>0.74907951123568883</v>
      </c>
      <c r="H187" s="2">
        <f>0.249253828053649*(8350/2783.333)</f>
        <v>0.74776157371323126</v>
      </c>
      <c r="I187" s="2">
        <f>0.245575224845419*(8350/2783.333)</f>
        <v>0.73672576276688728</v>
      </c>
      <c r="J187" s="2">
        <f>0.203205544950078*(8350/2783.333)</f>
        <v>0.60961670785822175</v>
      </c>
      <c r="K187" s="2">
        <f>0.260842465930716*(8350/2783.333)</f>
        <v>0.78252749150801548</v>
      </c>
      <c r="L187" s="2">
        <f>0.194713188303676*(8350/2783.333)</f>
        <v>0.58413963486786924</v>
      </c>
      <c r="M187" s="2">
        <f>0.204416430987946*(8350/2783.333)</f>
        <v>0.613249366406875</v>
      </c>
      <c r="N187" s="2">
        <f>0.338048759150504*(8350/2783.333)</f>
        <v>1.0141463989061699</v>
      </c>
      <c r="O187" s="2">
        <f>0.143473541124295*(8350/2783.333)</f>
        <v>0.43042067492027236</v>
      </c>
      <c r="P187" s="2">
        <f>0.104318444805628*(8350/2783.333)</f>
        <v>0.31295537189656925</v>
      </c>
      <c r="Q187" s="2">
        <f>0.0372611591268321*(8350/2783.333)</f>
        <v>0.11178349076774061</v>
      </c>
      <c r="R187" s="2">
        <f>0.114632271314827*(8350/2783.333)</f>
        <v>0.34389685512973162</v>
      </c>
      <c r="S187" s="2">
        <f>0.0275806143084955*(8350/2783.333)</f>
        <v>8.274185283469053E-2</v>
      </c>
      <c r="T187" s="2">
        <f t="shared" si="32"/>
        <v>0.10069243236843764</v>
      </c>
      <c r="U187" s="2">
        <f t="shared" si="33"/>
        <v>0.11437794326585224</v>
      </c>
      <c r="V187" s="2">
        <f t="shared" si="34"/>
        <v>0.11043877033537902</v>
      </c>
      <c r="W187" s="2">
        <f t="shared" si="35"/>
        <v>0.10705744606724045</v>
      </c>
      <c r="X187" s="2">
        <f t="shared" si="36"/>
        <v>0.11728533803050227</v>
      </c>
      <c r="Y187" s="2">
        <f t="shared" si="37"/>
        <v>0.10928020503416074</v>
      </c>
      <c r="Z187" s="2">
        <f t="shared" si="38"/>
        <v>0.10579568013572224</v>
      </c>
      <c r="AA187" s="2">
        <f t="shared" si="39"/>
        <v>0.11798772791544039</v>
      </c>
      <c r="AB187" s="2">
        <f t="shared" si="40"/>
        <v>0.10026757173055721</v>
      </c>
      <c r="AC187" s="2">
        <f t="shared" si="41"/>
        <v>0.1151901624778385</v>
      </c>
      <c r="AD187" s="2">
        <f t="shared" si="42"/>
        <v>0.10227444344259566</v>
      </c>
      <c r="AE187" s="2">
        <f t="shared" si="43"/>
        <v>0.10987695088187602</v>
      </c>
      <c r="AF187" s="2">
        <f t="shared" si="44"/>
        <v>0.11908712371493149</v>
      </c>
      <c r="AG187" s="2">
        <f t="shared" si="45"/>
        <v>9.9235315312320327E-2</v>
      </c>
      <c r="AH187" s="2">
        <f t="shared" si="46"/>
        <v>0.1199891551819615</v>
      </c>
      <c r="AI187" s="2">
        <f t="shared" si="47"/>
        <v>0.10099811712417744</v>
      </c>
      <c r="AJ187" s="2">
        <f>0.00106121097008905*(8350/2783.333)</f>
        <v>3.183633291540595E-3</v>
      </c>
      <c r="AK187" s="2">
        <f>0*(8350/2783.333)</f>
        <v>0</v>
      </c>
      <c r="AL187" s="2">
        <f>0*(8350/2783.333)</f>
        <v>0</v>
      </c>
      <c r="AM187" s="2">
        <f>0.00694032739296186*(8350/2783.333)</f>
        <v>2.0820984672416692E-2</v>
      </c>
      <c r="AN187" s="2">
        <f>0.0114905345298059*(8350/2783.333)</f>
        <v>3.4471607717753802E-2</v>
      </c>
      <c r="AO187" s="2">
        <f>0.00462643242831074*(8350/2783.333)</f>
        <v>1.3879298947123716E-2</v>
      </c>
      <c r="AP187" s="2">
        <f>0.0198236756225798*(8350/2783.333)</f>
        <v>5.9471033990018948E-2</v>
      </c>
      <c r="AQ187" s="2">
        <f>0.0460753234062731*(8350/2783.333)</f>
        <v>0.13822598677282977</v>
      </c>
      <c r="AR187" s="2">
        <f>0.124138459966495*(8350/2783.333)</f>
        <v>0.37241542450013437</v>
      </c>
      <c r="AS187" s="2">
        <f>0.205159490100446*(8350/2783.333)</f>
        <v>0.61547854401134261</v>
      </c>
      <c r="AT187" s="2">
        <f>0.336589925357388*(8350/2783.333)</f>
        <v>1.0097698970026892</v>
      </c>
      <c r="AU187" s="2">
        <f>0.146457278647203*(8350/2783.333)</f>
        <v>0.43937188856099624</v>
      </c>
      <c r="AV187" s="2">
        <f>0.127479020202858*(8350/2783.333)</f>
        <v>0.38243710640942624</v>
      </c>
      <c r="AW187" s="2">
        <f>0.119683851669541*(8350/2783.333)</f>
        <v>0.35905159800881464</v>
      </c>
    </row>
    <row r="188" spans="1:49" x14ac:dyDescent="0.25">
      <c r="A188" s="5">
        <v>45810</v>
      </c>
      <c r="B188" s="2">
        <f>0.326404975385313*(8350/2783.333)</f>
        <v>0.97921504342720112</v>
      </c>
      <c r="C188" s="2">
        <f>0.341690467543245*(8350/2783.333)</f>
        <v>1.0250715253927913</v>
      </c>
      <c r="D188" s="2">
        <f>0.262112394801671*(8350/2783.333)</f>
        <v>0.78633727857714242</v>
      </c>
      <c r="E188" s="2">
        <f>0.271022626936952*(8350/2783.333)</f>
        <v>0.81306797818426735</v>
      </c>
      <c r="F188" s="2">
        <f>0.362064493183407*(8350/2783.333)</f>
        <v>1.0861936096332874</v>
      </c>
      <c r="G188" s="2">
        <f>0.370512402044904*(8350/2783.333)</f>
        <v>1.1115373392529573</v>
      </c>
      <c r="H188" s="2">
        <f>0.248298832543865*(8350/2783.333)</f>
        <v>0.74489658684076676</v>
      </c>
      <c r="I188" s="2">
        <f>0.222741854793378*(8350/2783.333)</f>
        <v>0.66822564440715726</v>
      </c>
      <c r="J188" s="2">
        <f>0.198848311042766*(8350/2783.333)</f>
        <v>0.59654500457081283</v>
      </c>
      <c r="K188" s="2">
        <f>0.247224184576904*(8350/2783.333)</f>
        <v>0.74167264255378174</v>
      </c>
      <c r="L188" s="2">
        <f>0.228413547817773*(8350/2783.333)</f>
        <v>0.68524072551807735</v>
      </c>
      <c r="M188" s="2">
        <f>0.33526056892635*(8350/2783.333)</f>
        <v>1.0057818272319647</v>
      </c>
      <c r="N188" s="2">
        <f>0.129230761073852*(8350/2783.333)</f>
        <v>0.38769232965177608</v>
      </c>
      <c r="O188" s="2">
        <f>0.0908916150577997*(8350/2783.333)</f>
        <v>0.27267487782907307</v>
      </c>
      <c r="P188" s="2">
        <f>0.0435378633279687*(8350/2783.333)</f>
        <v>0.13061360562625413</v>
      </c>
      <c r="Q188" s="2">
        <f>0*(8350/2783.333)</f>
        <v>0</v>
      </c>
      <c r="R188" s="2">
        <f>0*(8350/2783.333)</f>
        <v>0</v>
      </c>
      <c r="S188" s="2">
        <f>0.0107857150927078*(8350/2783.333)</f>
        <v>3.2357149153230937E-2</v>
      </c>
      <c r="T188" s="2">
        <f t="shared" si="32"/>
        <v>0.10069243236843764</v>
      </c>
      <c r="U188" s="2">
        <f t="shared" si="33"/>
        <v>0.11437794326585224</v>
      </c>
      <c r="V188" s="2">
        <f t="shared" si="34"/>
        <v>0.11043877033537902</v>
      </c>
      <c r="W188" s="2">
        <f t="shared" si="35"/>
        <v>0.10705744606724045</v>
      </c>
      <c r="X188" s="2">
        <f t="shared" si="36"/>
        <v>0.11728533803050227</v>
      </c>
      <c r="Y188" s="2">
        <f t="shared" si="37"/>
        <v>0.10928020503416074</v>
      </c>
      <c r="Z188" s="2">
        <f t="shared" si="38"/>
        <v>0.10579568013572224</v>
      </c>
      <c r="AA188" s="2">
        <f t="shared" si="39"/>
        <v>0.11798772791544039</v>
      </c>
      <c r="AB188" s="2">
        <f t="shared" si="40"/>
        <v>0.10026757173055721</v>
      </c>
      <c r="AC188" s="2">
        <f t="shared" si="41"/>
        <v>0.1151901624778385</v>
      </c>
      <c r="AD188" s="2">
        <f t="shared" si="42"/>
        <v>0.10227444344259566</v>
      </c>
      <c r="AE188" s="2">
        <f t="shared" si="43"/>
        <v>0.10987695088187602</v>
      </c>
      <c r="AF188" s="2">
        <f t="shared" si="44"/>
        <v>0.11908712371493149</v>
      </c>
      <c r="AG188" s="2">
        <f t="shared" si="45"/>
        <v>9.9235315312320327E-2</v>
      </c>
      <c r="AH188" s="2">
        <f t="shared" si="46"/>
        <v>0.1199891551819615</v>
      </c>
      <c r="AI188" s="2">
        <f t="shared" si="47"/>
        <v>0.10099811712417744</v>
      </c>
      <c r="AJ188" s="2">
        <f>0.000454804701466736*(8350/2783.333)</f>
        <v>1.3644142678031132E-3</v>
      </c>
      <c r="AK188" s="2">
        <f>0*(8350/2783.333)</f>
        <v>0</v>
      </c>
      <c r="AL188" s="2">
        <f>0.00172458908452585*(8350/2783.333)</f>
        <v>5.1737678731904688E-3</v>
      </c>
      <c r="AM188" s="2">
        <f>0.189041298513057*(8350/2783.333)</f>
        <v>0.56712396345820737</v>
      </c>
      <c r="AN188" s="2">
        <f>0.207140176523797*(8350/2783.333)</f>
        <v>0.62142060399302113</v>
      </c>
      <c r="AO188" s="2">
        <f>0.122973558739615*(8350/2783.333)</f>
        <v>0.36892072040096602</v>
      </c>
      <c r="AP188" s="2">
        <f>0.0946205693581961*(8350/2783.333)</f>
        <v>0.28386174207000653</v>
      </c>
      <c r="AQ188" s="2">
        <f>0.0813093942463643*(8350/2783.333)</f>
        <v>0.24392821195205253</v>
      </c>
      <c r="AR188" s="2">
        <f>0.098167387420873*(8350/2783.333)</f>
        <v>0.29450219753234319</v>
      </c>
      <c r="AS188" s="2">
        <f>0.127179589866342*(8350/2783.333)</f>
        <v>0.38153881529229788</v>
      </c>
      <c r="AT188" s="2">
        <f>0.138374036532701*(8350/2783.333)</f>
        <v>0.4151221593133313</v>
      </c>
      <c r="AU188" s="2">
        <f>0.12887577067823*(8350/2783.333)</f>
        <v>0.38662735833736617</v>
      </c>
      <c r="AV188" s="2">
        <f>0.103625108767573*(8350/2783.333)</f>
        <v>0.31087536353330025</v>
      </c>
      <c r="AW188" s="2">
        <f>0.0951253470412456*(8350/2783.333)</f>
        <v>0.2853760753005124</v>
      </c>
    </row>
    <row r="189" spans="1:49" x14ac:dyDescent="0.25">
      <c r="A189" s="5">
        <v>45811</v>
      </c>
      <c r="B189" s="2">
        <f>0.256360989251125*(8350/2783.333)</f>
        <v>0.76908305985913183</v>
      </c>
      <c r="C189" s="2">
        <f>0.289307540732817*(8350/2783.333)</f>
        <v>0.86792272614129362</v>
      </c>
      <c r="D189" s="2">
        <f>0.230032967378183*(8350/2783.333)</f>
        <v>0.69009898478113396</v>
      </c>
      <c r="E189" s="2">
        <f>0.239519142096418*(8350/2783.333)</f>
        <v>0.71855751234404464</v>
      </c>
      <c r="F189" s="2">
        <f>0.213645391339076*(8350/2783.333)</f>
        <v>0.64093625077606065</v>
      </c>
      <c r="G189" s="2">
        <f>0.241638523072764*(8350/2783.333)</f>
        <v>0.72491565603453756</v>
      </c>
      <c r="H189" s="2">
        <f>0.218216473985666*(8350/2783.333)</f>
        <v>0.65464950035813574</v>
      </c>
      <c r="I189" s="2">
        <f>0.21575204763459*(8350/2783.333)</f>
        <v>0.64725622041948561</v>
      </c>
      <c r="J189" s="2">
        <f>0.180627151066735*(8350/2783.333)</f>
        <v>0.54188151809619667</v>
      </c>
      <c r="K189" s="2">
        <f>0.222082742077557*(8350/2783.333)</f>
        <v>0.66624830602288876</v>
      </c>
      <c r="L189" s="2">
        <f>0.204282426190395*(8350/2783.333)</f>
        <v>0.61284735196607654</v>
      </c>
      <c r="M189" s="2">
        <f>0.735282377842416*(8350/2783.333)</f>
        <v>2.2058473977005901</v>
      </c>
      <c r="N189" s="2">
        <f>0.406604101915291*(8350/2783.333)</f>
        <v>1.2198124518311972</v>
      </c>
      <c r="O189" s="2">
        <f>0.190421689397952*(8350/2783.333)</f>
        <v>0.57126513660884326</v>
      </c>
      <c r="P189" s="2">
        <f>0*(8350/2783.333)</f>
        <v>0</v>
      </c>
      <c r="Q189" s="2">
        <f>0.00141498072633539*(8350/2783.333)</f>
        <v>4.2449426873825543E-3</v>
      </c>
      <c r="R189" s="2">
        <f>0.03982354880093*(8350/2783.333)</f>
        <v>0.11947066071065353</v>
      </c>
      <c r="S189" s="2">
        <f>0.0127887764670678*(8350/2783.333)</f>
        <v>3.836633399597382E-2</v>
      </c>
      <c r="T189" s="2">
        <f t="shared" si="32"/>
        <v>0.10069243236843764</v>
      </c>
      <c r="U189" s="2">
        <f t="shared" si="33"/>
        <v>0.11437794326585224</v>
      </c>
      <c r="V189" s="2">
        <f t="shared" si="34"/>
        <v>0.11043877033537902</v>
      </c>
      <c r="W189" s="2">
        <f t="shared" si="35"/>
        <v>0.10705744606724045</v>
      </c>
      <c r="X189" s="2">
        <f t="shared" si="36"/>
        <v>0.11728533803050227</v>
      </c>
      <c r="Y189" s="2">
        <f t="shared" si="37"/>
        <v>0.10928020503416074</v>
      </c>
      <c r="Z189" s="2">
        <f t="shared" si="38"/>
        <v>0.10579568013572224</v>
      </c>
      <c r="AA189" s="2">
        <f t="shared" si="39"/>
        <v>0.11798772791544039</v>
      </c>
      <c r="AB189" s="2">
        <f t="shared" si="40"/>
        <v>0.10026757173055721</v>
      </c>
      <c r="AC189" s="2">
        <f t="shared" si="41"/>
        <v>0.1151901624778385</v>
      </c>
      <c r="AD189" s="2">
        <f t="shared" si="42"/>
        <v>0.10227444344259566</v>
      </c>
      <c r="AE189" s="2">
        <f t="shared" si="43"/>
        <v>0.10987695088187602</v>
      </c>
      <c r="AF189" s="2">
        <f t="shared" si="44"/>
        <v>0.11908712371493149</v>
      </c>
      <c r="AG189" s="2">
        <f t="shared" si="45"/>
        <v>9.9235315312320327E-2</v>
      </c>
      <c r="AH189" s="2">
        <f t="shared" si="46"/>
        <v>0.1199891551819615</v>
      </c>
      <c r="AI189" s="2">
        <f t="shared" si="47"/>
        <v>0.10099811712417744</v>
      </c>
      <c r="AJ189" s="2">
        <f>0.00545765641760083*(8350/2783.333)</f>
        <v>1.6372971213637354E-2</v>
      </c>
      <c r="AK189" s="2">
        <f>0*(8350/2783.333)</f>
        <v>0</v>
      </c>
      <c r="AL189" s="2">
        <f>0.0155213017607326*(8350/2783.333)</f>
        <v>4.6563910858714218E-2</v>
      </c>
      <c r="AM189" s="2">
        <f>0.0743606506388771*(8350/2783.333)</f>
        <v>0.22308197863303589</v>
      </c>
      <c r="AN189" s="2">
        <f>0.0024844398983364*(8350/2783.333)</f>
        <v>7.4533205876224431E-3</v>
      </c>
      <c r="AO189" s="2">
        <f>0.014625496063692*(8350/2783.333)</f>
        <v>4.3876493445745936E-2</v>
      </c>
      <c r="AP189" s="2">
        <f>0.0301519772074533*(8350/2783.333)</f>
        <v>9.0455942455407015E-2</v>
      </c>
      <c r="AQ189" s="2">
        <f>0.0699599579661427*(8350/2783.333)</f>
        <v>0.20987989903374521</v>
      </c>
      <c r="AR189" s="2">
        <f>0.179674086793611*(8350/2783.333)</f>
        <v>0.53902232493440516</v>
      </c>
      <c r="AS189" s="2">
        <f>0.128305072962505*(8350/2783.333)</f>
        <v>0.38491526498515005</v>
      </c>
      <c r="AT189" s="2">
        <f>0.22936644207257*(8350/2783.333)</f>
        <v>0.68809940862482333</v>
      </c>
      <c r="AU189" s="2">
        <f>0.120085016693743*(8350/2783.333)</f>
        <v>0.36025509322555094</v>
      </c>
      <c r="AV189" s="2">
        <f>0.0969646010291487*(8350/2783.333)</f>
        <v>0.29089383792503137</v>
      </c>
      <c r="AW189" s="2">
        <f>0.0910840741277287*(8350/2783.333)</f>
        <v>0.27325225510800694</v>
      </c>
    </row>
    <row r="190" spans="1:49" x14ac:dyDescent="0.25">
      <c r="A190" s="5">
        <v>45812</v>
      </c>
      <c r="B190" s="2">
        <f>0.277374185091382*(8350/2783.333)</f>
        <v>0.83212265492955284</v>
      </c>
      <c r="C190" s="2">
        <f>0.283540613010569*(8350/2783.333)</f>
        <v>0.85062194090259757</v>
      </c>
      <c r="D190" s="2">
        <f>0.21321082860733*(8350/2783.333)</f>
        <v>0.63963256242469091</v>
      </c>
      <c r="E190" s="2">
        <f>0.227936978552103*(8350/2783.333)</f>
        <v>0.68381101754984486</v>
      </c>
      <c r="F190" s="2">
        <f>0.167557354450573*(8350/2783.333)</f>
        <v>0.50267212355197421</v>
      </c>
      <c r="G190" s="2">
        <f>0.215105665637323*(8350/2783.333)</f>
        <v>0.64531707419545126</v>
      </c>
      <c r="H190" s="2">
        <f>0.22155895826991*(8350/2783.333)</f>
        <v>0.66467695441176133</v>
      </c>
      <c r="I190" s="2">
        <f>0.206898291900125*(8350/2783.333)</f>
        <v>0.62069495003510045</v>
      </c>
      <c r="J190" s="2">
        <f>0.17547769281264*(8350/2783.333)</f>
        <v>0.52643314148380516</v>
      </c>
      <c r="K190" s="2">
        <f>0.223654082233767*(8350/2783.333)</f>
        <v>0.67096232705606951</v>
      </c>
      <c r="L190" s="2">
        <f>0.212187448792467*(8350/2783.333)</f>
        <v>0.63656242261242191</v>
      </c>
      <c r="M190" s="2">
        <f>0.486370128902353*(8350/2783.333)</f>
        <v>1.4591105614508402</v>
      </c>
      <c r="N190" s="2">
        <f>0.0764352672205102*(8350/2783.333)</f>
        <v>0.22930582912330652</v>
      </c>
      <c r="O190" s="2">
        <f>0.0852578372649609*(8350/2783.333)</f>
        <v>0.25577354242644462</v>
      </c>
      <c r="P190" s="2">
        <f>0.0849203868872261*(8350/2783.333)</f>
        <v>0.25476119117200063</v>
      </c>
      <c r="Q190" s="2">
        <f>0.0551842483270804*(8350/2783.333)</f>
        <v>0.16555276480791972</v>
      </c>
      <c r="R190" s="2">
        <f>0.0122820290694457*(8350/2783.333)</f>
        <v>3.6846091621042687E-2</v>
      </c>
      <c r="S190" s="2">
        <f>0.00107857150927078*(8350/2783.333)</f>
        <v>3.2357149153230936E-3</v>
      </c>
      <c r="T190" s="2">
        <f t="shared" si="32"/>
        <v>0.10069243236843764</v>
      </c>
      <c r="U190" s="2">
        <f t="shared" si="33"/>
        <v>0.11437794326585224</v>
      </c>
      <c r="V190" s="2">
        <f t="shared" si="34"/>
        <v>0.11043877033537902</v>
      </c>
      <c r="W190" s="2">
        <f t="shared" si="35"/>
        <v>0.10705744606724045</v>
      </c>
      <c r="X190" s="2">
        <f t="shared" si="36"/>
        <v>0.11728533803050227</v>
      </c>
      <c r="Y190" s="2">
        <f t="shared" si="37"/>
        <v>0.10928020503416074</v>
      </c>
      <c r="Z190" s="2">
        <f t="shared" si="38"/>
        <v>0.10579568013572224</v>
      </c>
      <c r="AA190" s="2">
        <f t="shared" si="39"/>
        <v>0.11798772791544039</v>
      </c>
      <c r="AB190" s="2">
        <f t="shared" si="40"/>
        <v>0.10026757173055721</v>
      </c>
      <c r="AC190" s="2">
        <f t="shared" si="41"/>
        <v>0.1151901624778385</v>
      </c>
      <c r="AD190" s="2">
        <f t="shared" si="42"/>
        <v>0.10227444344259566</v>
      </c>
      <c r="AE190" s="2">
        <f t="shared" si="43"/>
        <v>0.10987695088187602</v>
      </c>
      <c r="AF190" s="2">
        <f t="shared" si="44"/>
        <v>0.11908712371493149</v>
      </c>
      <c r="AG190" s="2">
        <f t="shared" si="45"/>
        <v>9.9235315312320327E-2</v>
      </c>
      <c r="AH190" s="2">
        <f t="shared" si="46"/>
        <v>0.1199891551819615</v>
      </c>
      <c r="AI190" s="2">
        <f t="shared" si="47"/>
        <v>0.10099811712417744</v>
      </c>
      <c r="AJ190" s="2">
        <f>0.0128861332082242*(8350/2783.333)</f>
        <v>3.8658404254421519E-2</v>
      </c>
      <c r="AK190" s="2">
        <f>0.132201035103214*(8350/2783.333)</f>
        <v>0.39660315280702468</v>
      </c>
      <c r="AL190" s="2">
        <f>0.0655343852119823*(8350/2783.333)</f>
        <v>0.19660317918123793</v>
      </c>
      <c r="AM190" s="2">
        <f>0.0865888465217147*(8350/2783.333)</f>
        <v>0.25976657067491293</v>
      </c>
      <c r="AN190" s="2">
        <f>0.0875765064163581*(8350/2783.333)</f>
        <v>0.2627295507136912</v>
      </c>
      <c r="AO190" s="2">
        <f>0.00850666607786169*(8350/2783.333)</f>
        <v>2.5520001289872647E-2</v>
      </c>
      <c r="AP190" s="2">
        <f>0.0144929393207096*(8350/2783.333)</f>
        <v>4.3478823169173522E-2</v>
      </c>
      <c r="AQ190" s="2">
        <f>0.0340483088406651*(8350/2783.333)</f>
        <v>0.10214493875492196</v>
      </c>
      <c r="AR190" s="2">
        <f>0.223449227939691*(8350/2783.333)</f>
        <v>0.67034776410024233</v>
      </c>
      <c r="AS190" s="2">
        <f>0.0938974468798279*(8350/2783.333)</f>
        <v>0.28169237437509737</v>
      </c>
      <c r="AT190" s="2">
        <f>0.125913815233548*(8350/2783.333)</f>
        <v>0.377741490939145</v>
      </c>
      <c r="AU190" s="2">
        <f>0.127880590981872*(8350/2783.333)</f>
        <v>0.38364181889074545</v>
      </c>
      <c r="AV190" s="2">
        <f>0.112454153909204*(8350/2783.333)</f>
        <v>0.33736250213030805</v>
      </c>
      <c r="AW190" s="2">
        <f>0.108492634370571*(8350/2783.333)</f>
        <v>0.32547794209110725</v>
      </c>
    </row>
    <row r="191" spans="1:49" x14ac:dyDescent="0.25">
      <c r="A191" s="5">
        <v>45813</v>
      </c>
      <c r="B191" s="2">
        <f>0.321268416402139*(8350/2783.333)</f>
        <v>0.96380536463220878</v>
      </c>
      <c r="C191" s="2">
        <f>0.281137726459632*(8350/2783.333)</f>
        <v>0.8434132803864739</v>
      </c>
      <c r="D191" s="2">
        <f>0.230815392437292*(8350/2783.333)</f>
        <v>0.69244626023957334</v>
      </c>
      <c r="E191" s="2">
        <f>0.230716697802739*(8350/2783.333)</f>
        <v>0.69215017630045306</v>
      </c>
      <c r="F191" s="2">
        <f>0.436274044105572*(8350/2783.333)</f>
        <v>1.3088222890619006</v>
      </c>
      <c r="G191" s="2">
        <f>0.355824570250286*(8350/2783.333)</f>
        <v>1.067473838592035</v>
      </c>
      <c r="H191" s="2">
        <f>0.250208823563433*(8350/2783.333)</f>
        <v>0.75062656058569543</v>
      </c>
      <c r="I191" s="2">
        <f>0.261418787738672*(8350/2783.333)</f>
        <v>0.78425645713894432</v>
      </c>
      <c r="J191" s="2">
        <f>0.208355003204173*(8350/2783.333)</f>
        <v>0.62506508447061293</v>
      </c>
      <c r="K191" s="2">
        <f>0.251938205045531*(8350/2783.333)</f>
        <v>0.7558147056533242</v>
      </c>
      <c r="L191" s="2">
        <f>0.220924579036863*(8350/2783.333)</f>
        <v>0.6627738164846978</v>
      </c>
      <c r="M191" s="2">
        <f>0.189878193439234*(8350/2783.333)</f>
        <v>0.56963464853742041</v>
      </c>
      <c r="N191" s="2">
        <f>0.216697922532374*(8350/2783.333)</f>
        <v>0.6500938454526729</v>
      </c>
      <c r="O191" s="2">
        <f>0.295209956344754*(8350/2783.333)</f>
        <v>0.88562997509773322</v>
      </c>
      <c r="P191" s="2">
        <f>0.112508735926731*(8350/2783.333)</f>
        <v>0.33752624820249816</v>
      </c>
      <c r="Q191" s="2">
        <f>0.321672285120247*(8350/2783.333)</f>
        <v>0.96501697093163452</v>
      </c>
      <c r="R191" s="2">
        <f>0.0714590782222295*(8350/2783.333)</f>
        <v>0.21437726034061197</v>
      </c>
      <c r="S191" s="2">
        <f>0.0172571441483324*(8350/2783.333)</f>
        <v>5.1771438645169462E-2</v>
      </c>
      <c r="T191" s="2">
        <f t="shared" si="32"/>
        <v>0.10069243236843764</v>
      </c>
      <c r="U191" s="2">
        <f t="shared" si="33"/>
        <v>0.11437794326585224</v>
      </c>
      <c r="V191" s="2">
        <f t="shared" si="34"/>
        <v>0.11043877033537902</v>
      </c>
      <c r="W191" s="2">
        <f t="shared" si="35"/>
        <v>0.10705744606724045</v>
      </c>
      <c r="X191" s="2">
        <f t="shared" si="36"/>
        <v>0.11728533803050227</v>
      </c>
      <c r="Y191" s="2">
        <f t="shared" si="37"/>
        <v>0.10928020503416074</v>
      </c>
      <c r="Z191" s="2">
        <f t="shared" si="38"/>
        <v>0.10579568013572224</v>
      </c>
      <c r="AA191" s="2">
        <f t="shared" si="39"/>
        <v>0.11798772791544039</v>
      </c>
      <c r="AB191" s="2">
        <f t="shared" si="40"/>
        <v>0.10026757173055721</v>
      </c>
      <c r="AC191" s="2">
        <f t="shared" si="41"/>
        <v>0.1151901624778385</v>
      </c>
      <c r="AD191" s="2">
        <f t="shared" si="42"/>
        <v>0.10227444344259566</v>
      </c>
      <c r="AE191" s="2">
        <f t="shared" si="43"/>
        <v>0.10987695088187602</v>
      </c>
      <c r="AF191" s="2">
        <f t="shared" si="44"/>
        <v>0.11908712371493149</v>
      </c>
      <c r="AG191" s="2">
        <f t="shared" si="45"/>
        <v>9.9235315312320327E-2</v>
      </c>
      <c r="AH191" s="2">
        <f t="shared" si="46"/>
        <v>0.1199891551819615</v>
      </c>
      <c r="AI191" s="2">
        <f t="shared" si="47"/>
        <v>0.10099811712417744</v>
      </c>
      <c r="AJ191" s="2">
        <f>0.000151601567155579*(8350/2783.333)</f>
        <v>4.5480475593437099E-4</v>
      </c>
      <c r="AK191" s="2">
        <f>0.0692481612445405*(8350/2783.333)</f>
        <v>0.20774450861320343</v>
      </c>
      <c r="AL191" s="2">
        <f>0.139691715846594*(8350/2783.333)</f>
        <v>0.41907519772842811</v>
      </c>
      <c r="AM191" s="2">
        <f>0.125256384853931*(8350/2783.333)</f>
        <v>0.37576919956409144</v>
      </c>
      <c r="AN191" s="2">
        <f>0.00031055498729205*(8350/2783.333)</f>
        <v>9.3166507345280539E-4</v>
      </c>
      <c r="AO191" s="2">
        <f>0.044324207458332*(8350/2783.333)</f>
        <v>0.13297263829986272</v>
      </c>
      <c r="AP191" s="2">
        <f>0.22688946384835*(8350/2783.333)</f>
        <v>0.68066847306223388</v>
      </c>
      <c r="AQ191" s="2">
        <f>0.0608126511134267*(8350/2783.333)</f>
        <v>0.18243797518913932</v>
      </c>
      <c r="AR191" s="2">
        <f>0.106171051287134*(8350/2783.333)</f>
        <v>0.31851319200669387</v>
      </c>
      <c r="AS191" s="2">
        <f>0.135540321437834*(8350/2783.333)</f>
        <v>0.40662101301062842</v>
      </c>
      <c r="AT191" s="2">
        <f>0.142144892978497*(8350/2783.333)</f>
        <v>0.42643473000551912</v>
      </c>
      <c r="AU191" s="2">
        <f>0.120582606541921*(8350/2783.333)</f>
        <v>0.36174786294886124</v>
      </c>
      <c r="AV191" s="2">
        <f>0.12794370678926*(8350/2783.333)</f>
        <v>0.3838311663355844</v>
      </c>
      <c r="AW191" s="2">
        <f>0.11439911016725*(8350/2783.333)</f>
        <v>0.34319737160323044</v>
      </c>
    </row>
    <row r="192" spans="1:49" x14ac:dyDescent="0.25">
      <c r="A192" s="5">
        <v>45814</v>
      </c>
      <c r="B192" s="2">
        <f>0.318933616864333*(8350/2783.333)</f>
        <v>0.95680096517994062</v>
      </c>
      <c r="C192" s="2">
        <f>0.317661602033874*(8350/2783.333)</f>
        <v>0.95298492023155368</v>
      </c>
      <c r="D192" s="2">
        <f>0.187782014186272*(8350/2783.333)</f>
        <v>0.56334611002541568</v>
      </c>
      <c r="E192" s="2">
        <f>0.234422990136919*(8350/2783.333)</f>
        <v>0.70326905463459699</v>
      </c>
      <c r="F192" s="2">
        <f>0.173416003207586*(8350/2783.333)</f>
        <v>0.52024807192791755</v>
      </c>
      <c r="G192" s="2">
        <f>0.220317476919285*(8350/2783.333)</f>
        <v>0.66095250991384324</v>
      </c>
      <c r="H192" s="2">
        <f>0.212963998681853*(8350/2783.333)</f>
        <v>0.6388920725595808</v>
      </c>
      <c r="I192" s="2">
        <f>0.22180988050554*(8350/2783.333)</f>
        <v>0.66542972120880128</v>
      </c>
      <c r="J192" s="2">
        <f>0.180231038893343*(8350/2783.333)</f>
        <v>0.54069318143370493</v>
      </c>
      <c r="K192" s="2">
        <f>0.23570102343137*(8350/2783.333)</f>
        <v>0.70710315497712228</v>
      </c>
      <c r="L192" s="2">
        <f>0.215099825540599*(8350/2783.333)</f>
        <v>0.64529955390318094</v>
      </c>
      <c r="M192" s="2">
        <f>0.175780508543514*(8350/2783.333)</f>
        <v>0.52734158878522208</v>
      </c>
      <c r="N192" s="2">
        <f>0.581538424832335*(8350/2783.333)</f>
        <v>1.7446154834329917</v>
      </c>
      <c r="O192" s="2">
        <f>0.0826287409616361*(8350/2783.333)</f>
        <v>0.24788625257188465</v>
      </c>
      <c r="P192" s="2">
        <f>0.254761160661678*(8350/2783.333)</f>
        <v>0.76428357351600218</v>
      </c>
      <c r="Q192" s="2">
        <f>0.00990486508434777*(8350/2783.333)</f>
        <v>2.9714598811677893E-2</v>
      </c>
      <c r="R192" s="2">
        <f>0.00967675017592691*(8350/2783.333)</f>
        <v>2.903025400445786E-2</v>
      </c>
      <c r="S192" s="2">
        <f>0.000154081644181539*(8350/2783.333)</f>
        <v>4.622449879032991E-4</v>
      </c>
      <c r="T192" s="2">
        <f t="shared" si="32"/>
        <v>0.10069243236843764</v>
      </c>
      <c r="U192" s="2">
        <f t="shared" si="33"/>
        <v>0.11437794326585224</v>
      </c>
      <c r="V192" s="2">
        <f t="shared" si="34"/>
        <v>0.11043877033537902</v>
      </c>
      <c r="W192" s="2">
        <f t="shared" si="35"/>
        <v>0.10705744606724045</v>
      </c>
      <c r="X192" s="2">
        <f t="shared" si="36"/>
        <v>0.11728533803050227</v>
      </c>
      <c r="Y192" s="2">
        <f t="shared" si="37"/>
        <v>0.10928020503416074</v>
      </c>
      <c r="Z192" s="2">
        <f t="shared" si="38"/>
        <v>0.10579568013572224</v>
      </c>
      <c r="AA192" s="2">
        <f t="shared" si="39"/>
        <v>0.11798772791544039</v>
      </c>
      <c r="AB192" s="2">
        <f t="shared" si="40"/>
        <v>0.10026757173055721</v>
      </c>
      <c r="AC192" s="2">
        <f t="shared" si="41"/>
        <v>0.1151901624778385</v>
      </c>
      <c r="AD192" s="2">
        <f t="shared" si="42"/>
        <v>0.10227444344259566</v>
      </c>
      <c r="AE192" s="2">
        <f t="shared" si="43"/>
        <v>0.10987695088187602</v>
      </c>
      <c r="AF192" s="2">
        <f t="shared" si="44"/>
        <v>0.11908712371493149</v>
      </c>
      <c r="AG192" s="2">
        <f t="shared" si="45"/>
        <v>9.9235315312320327E-2</v>
      </c>
      <c r="AH192" s="2">
        <f t="shared" si="46"/>
        <v>0.1199891551819615</v>
      </c>
      <c r="AI192" s="2">
        <f t="shared" si="47"/>
        <v>0.10099811712417744</v>
      </c>
      <c r="AJ192" s="2">
        <f>0.0748911741748558*(8350/2783.333)</f>
        <v>0.22467354943157922</v>
      </c>
      <c r="AK192" s="2">
        <f>0.0842369407347008*(8350/2783.333)</f>
        <v>0.2527108524688752</v>
      </c>
      <c r="AL192" s="2">
        <f>0.231382368840552*(8350/2783.333)</f>
        <v>0.694147189653055</v>
      </c>
      <c r="AM192" s="2">
        <f>0.0667593396846808*(8350/2783.333)</f>
        <v>0.20027804303943669</v>
      </c>
      <c r="AN192" s="2">
        <f>0.0645954373567464*(8350/2783.333)</f>
        <v>0.19378633527818354</v>
      </c>
      <c r="AO192" s="2">
        <f>0.00656654925308621*(8350/2783.333)</f>
        <v>1.9699650118498176E-2</v>
      </c>
      <c r="AP192" s="2">
        <f>0.0709654270186471*(8350/2783.333)</f>
        <v>0.21289630655250491</v>
      </c>
      <c r="AQ192" s="2">
        <f>0.0799542376755916*(8350/2783.333)</f>
        <v>0.23986274175285169</v>
      </c>
      <c r="AR192" s="2">
        <f>0.166116860244639*(8350/2783.333)</f>
        <v>0.49835064041662697</v>
      </c>
      <c r="AS192" s="2">
        <f>0.237798499889153*(8350/2783.333)</f>
        <v>0.71339558510405654</v>
      </c>
      <c r="AT192" s="2">
        <f>0.219529425257449*(8350/2783.333)</f>
        <v>0.65858835464520238</v>
      </c>
      <c r="AU192" s="2">
        <f>0.152925946673523*(8350/2783.333)</f>
        <v>0.45877789496403037</v>
      </c>
      <c r="AV192" s="2">
        <f>0.14451752837092*(8350/2783.333)</f>
        <v>0.43355263703523034</v>
      </c>
      <c r="AW192" s="2">
        <f>0.137714146206771*(8350/2783.333)</f>
        <v>0.41314248809845439</v>
      </c>
    </row>
    <row r="193" spans="1:49" x14ac:dyDescent="0.25">
      <c r="A193" s="5">
        <v>45815</v>
      </c>
      <c r="B193" s="2">
        <f>0.394114161981694*(8350/2783.333)</f>
        <v>1.1823426275430011</v>
      </c>
      <c r="C193" s="2">
        <f>0.3777337658073*(8350/2783.333)</f>
        <v>1.1332014331346472</v>
      </c>
      <c r="D193" s="2">
        <f>0.300451222698035*(8350/2783.333)</f>
        <v>0.9013537760406648</v>
      </c>
      <c r="E193" s="2">
        <f>0.31040198298762*(8350/2783.333)</f>
        <v>0.93120606048454468</v>
      </c>
      <c r="F193" s="2">
        <f>0.212473661587673*(8350/2783.333)</f>
        <v>0.63742106110087182</v>
      </c>
      <c r="G193" s="2">
        <f>0.255378752816117*(8350/2783.333)</f>
        <v>0.76613635020120729</v>
      </c>
      <c r="H193" s="2">
        <f>0.236838886426456*(8350/2783.333)</f>
        <v>0.71051674437119305</v>
      </c>
      <c r="I193" s="2">
        <f>0.225071790512974*(8350/2783.333)</f>
        <v>0.6752154524030487</v>
      </c>
      <c r="J193" s="2">
        <f>0.213900573631661*(8350/2783.333)</f>
        <v>0.64170179774549652</v>
      </c>
      <c r="K193" s="2">
        <f>0.281269887961435*(8350/2783.333)</f>
        <v>0.84380976493936632</v>
      </c>
      <c r="L193" s="2">
        <f>0.241311216273786*(8350/2783.333)</f>
        <v>0.72393373552000895</v>
      </c>
      <c r="M193" s="2">
        <f>0.30706519913491*(8350/2783.333)</f>
        <v>0.92119570772756798</v>
      </c>
      <c r="N193" s="2">
        <f>0.315590974451694*(8350/2783.333)</f>
        <v>0.94677303674107505</v>
      </c>
      <c r="O193" s="2">
        <f>0.167135407854218*(8350/2783.333)</f>
        <v>0.50140628361131223</v>
      </c>
      <c r="P193" s="2">
        <f>0.117681551371638*(8350/2783.333)</f>
        <v>0.35304469639571656</v>
      </c>
      <c r="Q193" s="2">
        <f>0.0882004652749063*(8350/2783.333)</f>
        <v>0.26460142751351268</v>
      </c>
      <c r="R193" s="2">
        <f>0.0617823280463026*(8350/2783.333)</f>
        <v>0.18534700633615411</v>
      </c>
      <c r="S193" s="2">
        <f>0*(8350/2783.333)</f>
        <v>0</v>
      </c>
      <c r="T193" s="2">
        <f t="shared" si="32"/>
        <v>0.10069243236843764</v>
      </c>
      <c r="U193" s="2">
        <f t="shared" si="33"/>
        <v>0.11437794326585224</v>
      </c>
      <c r="V193" s="2">
        <f t="shared" si="34"/>
        <v>0.11043877033537902</v>
      </c>
      <c r="W193" s="2">
        <f t="shared" si="35"/>
        <v>0.10705744606724045</v>
      </c>
      <c r="X193" s="2">
        <f t="shared" si="36"/>
        <v>0.11728533803050227</v>
      </c>
      <c r="Y193" s="2">
        <f t="shared" si="37"/>
        <v>0.10928020503416074</v>
      </c>
      <c r="Z193" s="2">
        <f t="shared" si="38"/>
        <v>0.10579568013572224</v>
      </c>
      <c r="AA193" s="2">
        <f t="shared" si="39"/>
        <v>0.11798772791544039</v>
      </c>
      <c r="AB193" s="2">
        <f t="shared" si="40"/>
        <v>0.10026757173055721</v>
      </c>
      <c r="AC193" s="2">
        <f t="shared" si="41"/>
        <v>0.1151901624778385</v>
      </c>
      <c r="AD193" s="2">
        <f t="shared" si="42"/>
        <v>0.10227444344259566</v>
      </c>
      <c r="AE193" s="2">
        <f t="shared" si="43"/>
        <v>0.10987695088187602</v>
      </c>
      <c r="AF193" s="2">
        <f t="shared" si="44"/>
        <v>0.11908712371493149</v>
      </c>
      <c r="AG193" s="2">
        <f t="shared" si="45"/>
        <v>9.9235315312320327E-2</v>
      </c>
      <c r="AH193" s="2">
        <f t="shared" si="46"/>
        <v>0.1199891551819615</v>
      </c>
      <c r="AI193" s="2">
        <f t="shared" si="47"/>
        <v>0.10099811712417744</v>
      </c>
      <c r="AJ193" s="2">
        <f>0.0345651573114719*(8350/2783.333)</f>
        <v>0.10369548435303659</v>
      </c>
      <c r="AK193" s="2">
        <f>0*(8350/2783.333)</f>
        <v>0</v>
      </c>
      <c r="AL193" s="2">
        <f>0*(8350/2783.333)</f>
        <v>0</v>
      </c>
      <c r="AM193" s="2">
        <f>0.000330491780617232*(8350/2783.333)</f>
        <v>9.9147546059127076E-4</v>
      </c>
      <c r="AN193" s="2">
        <f>0*(8350/2783.333)</f>
        <v>0</v>
      </c>
      <c r="AO193" s="2">
        <f>0.0186549694689949*(8350/2783.333)</f>
        <v>5.596491510936983E-2</v>
      </c>
      <c r="AP193" s="2">
        <f>0.00633024935847086*(8350/2783.333)</f>
        <v>1.8990750349753952E-2</v>
      </c>
      <c r="AQ193" s="2">
        <f>0.0360810436968242*(8350/2783.333)</f>
        <v>0.10824314405372329</v>
      </c>
      <c r="AR193" s="2">
        <f>0.0676227926659591*(8350/2783.333)</f>
        <v>0.20286840229349432</v>
      </c>
      <c r="AS193" s="2">
        <f>0.110297343423907*(8350/2783.333)</f>
        <v>0.33089206989951503</v>
      </c>
      <c r="AT193" s="2">
        <f>0.231661745996098*(8350/2783.333)</f>
        <v>0.69498532122006773</v>
      </c>
      <c r="AU193" s="2">
        <f>0.201523888512289*(8350/2783.333)</f>
        <v>0.6045717379406691</v>
      </c>
      <c r="AV193" s="2">
        <f>0.217163531378381*(8350/2783.333)</f>
        <v>0.6514906721579774</v>
      </c>
      <c r="AW193" s="2">
        <f>0.145174957739417*(8350/2783.333)</f>
        <v>0.43552492537692561</v>
      </c>
    </row>
    <row r="194" spans="1:49" x14ac:dyDescent="0.25">
      <c r="A194" s="5">
        <v>45816</v>
      </c>
      <c r="B194" s="2">
        <f>0.339479852797028*(8350/2783.333)</f>
        <v>1.0184396803599067</v>
      </c>
      <c r="C194" s="2">
        <f>0.318142179344062*(8350/2783.333)</f>
        <v>0.95442665233477819</v>
      </c>
      <c r="D194" s="2">
        <f>0.249984806385474*(8350/2783.333)</f>
        <v>0.74995450897133442</v>
      </c>
      <c r="E194" s="2">
        <f>0.271949200020497*(8350/2783.333)</f>
        <v>0.81584769776780297</v>
      </c>
      <c r="F194" s="2">
        <f>0.212473661587673*(8350/2783.333)</f>
        <v>0.63742106110087182</v>
      </c>
      <c r="G194" s="2">
        <f>0.256800155893016*(8350/2783.333)</f>
        <v>0.77040055994258683</v>
      </c>
      <c r="H194" s="2">
        <f>0.255461298867246*(8350/2783.333)</f>
        <v>0.7663839883842507</v>
      </c>
      <c r="I194" s="2">
        <f>0.243711276269742*(8350/2783.333)</f>
        <v>0.73113391637017433</v>
      </c>
      <c r="J194" s="2">
        <f>0.215485022325228*(8350/2783.333)</f>
        <v>0.64645514439546259</v>
      </c>
      <c r="K194" s="2">
        <f>0.281269887961435*(8350/2783.333)</f>
        <v>0.84380976493936632</v>
      </c>
      <c r="L194" s="2">
        <f>0.176406820172561*(8350/2783.333)</f>
        <v>0.52922052389738583</v>
      </c>
      <c r="M194" s="2">
        <f>0.1361307697743*(8350/2783.333)</f>
        <v>0.40839235823216413</v>
      </c>
      <c r="N194" s="2">
        <f>0.193452145387992*(8350/2783.333)</f>
        <v>0.58035650566774999</v>
      </c>
      <c r="O194" s="2">
        <f>0.273426015545778*(8350/2783.333)</f>
        <v>0.82027814487423678</v>
      </c>
      <c r="P194" s="2">
        <f>0.0952660177770405*(8350/2783.333)</f>
        <v>0.28579808755843733</v>
      </c>
      <c r="Q194" s="2">
        <f>0.0754656387378878*(8350/2783.333)</f>
        <v>0.22639694332706969</v>
      </c>
      <c r="R194" s="2">
        <f>0.00744365398148224*(8350/2783.333)</f>
        <v>2.2330964618813749E-2</v>
      </c>
      <c r="S194" s="2">
        <f>0.000462244932544618*(8350/2783.333)</f>
        <v>1.3867349637098974E-3</v>
      </c>
      <c r="T194" s="2">
        <f t="shared" ref="T194:T257" si="49">0.0335641401031546*(8350/2783.333)</f>
        <v>0.10069243236843764</v>
      </c>
      <c r="U194" s="2">
        <f t="shared" ref="U194:U257" si="50">0.0381259765226317*(8350/2783.333)</f>
        <v>0.11437794326585224</v>
      </c>
      <c r="V194" s="2">
        <f t="shared" ref="V194:V257" si="51">0.036812919036393*(8350/2783.333)</f>
        <v>0.11043877033537902</v>
      </c>
      <c r="W194" s="2">
        <f t="shared" ref="W194:W257" si="52">0.0356858110819965*(8350/2783.333)</f>
        <v>0.10705744606724045</v>
      </c>
      <c r="X194" s="2">
        <f t="shared" ref="X194:X257" si="53">0.0390951079947847*(8350/2783.333)</f>
        <v>0.11728533803050227</v>
      </c>
      <c r="Y194" s="2">
        <f t="shared" ref="Y194:Y257" si="54">0.0364267306489037*(8350/2783.333)</f>
        <v>0.10928020503416074</v>
      </c>
      <c r="Z194" s="2">
        <f t="shared" ref="Z194:Z257" si="55">0.035265222488527*(8350/2783.333)</f>
        <v>0.10579568013572224</v>
      </c>
      <c r="AA194" s="2">
        <f t="shared" ref="AA194:AA257" si="56">0.0393292379283912*(8350/2783.333)</f>
        <v>0.11798772791544039</v>
      </c>
      <c r="AB194" s="2">
        <f t="shared" ref="AB194:AB257" si="57">0.0334225199074883*(8350/2783.333)</f>
        <v>0.10026757173055721</v>
      </c>
      <c r="AC194" s="2">
        <f t="shared" ref="AC194:AC257" si="58">0.0383967162275365*(8350/2783.333)</f>
        <v>0.1151901624778385</v>
      </c>
      <c r="AD194" s="2">
        <f t="shared" ref="AD194:AD257" si="59">0.0340914770647198*(8350/2783.333)</f>
        <v>0.10227444344259566</v>
      </c>
      <c r="AE194" s="2">
        <f t="shared" ref="AE194:AE257" si="60">0.0366256459076532*(8350/2783.333)</f>
        <v>0.10987695088187602</v>
      </c>
      <c r="AF194" s="2">
        <f t="shared" ref="AF194:AF257" si="61">0.0396957031510002*(8350/2783.333)</f>
        <v>0.11908712371493149</v>
      </c>
      <c r="AG194" s="2">
        <f t="shared" ref="AG194:AG257" si="62">0.0330784344759505*(8350/2783.333)</f>
        <v>9.9235315312320327E-2</v>
      </c>
      <c r="AH194" s="2">
        <f t="shared" ref="AH194:AH257" si="63">0.0399963802706676*(8350/2783.333)</f>
        <v>0.1199891551819615</v>
      </c>
      <c r="AI194" s="2">
        <f t="shared" ref="AI194:AI257" si="64">0.0336660350095315*(8350/2783.333)</f>
        <v>0.10099811712417744</v>
      </c>
      <c r="AJ194" s="2">
        <f>0.0774684008165006*(8350/2783.333)</f>
        <v>0.23240523028246357</v>
      </c>
      <c r="AK194" s="2">
        <f>0.0482638699583161*(8350/2783.333)</f>
        <v>0.14479162721526295</v>
      </c>
      <c r="AL194" s="2">
        <f>0.00603606179584048*(8350/2783.333)</f>
        <v>1.8108187556166652E-2</v>
      </c>
      <c r="AM194" s="2">
        <f>0.0389980301128333*(8350/2783.333)</f>
        <v>0.11699410434976995</v>
      </c>
      <c r="AN194" s="2">
        <f>0.131985869599121*(8350/2783.333)</f>
        <v>0.3959576562174425</v>
      </c>
      <c r="AO194" s="2">
        <f>0.0716350827609405*(8350/2783.333)</f>
        <v>0.21490527401998016</v>
      </c>
      <c r="AP194" s="2">
        <f>0.269535354263312*(8350/2783.333)</f>
        <v>0.80860615962899762</v>
      </c>
      <c r="AQ194" s="2">
        <f>0.100620375379876*(8350/2783.333)</f>
        <v>0.30186116229066512</v>
      </c>
      <c r="AR194" s="2">
        <f>0.1194015976783*(8350/2783.333)</f>
        <v>0.35820483593368185</v>
      </c>
      <c r="AS194" s="2">
        <f>0.151457868083558*(8350/2783.333)</f>
        <v>0.454373658666681</v>
      </c>
      <c r="AT194" s="2">
        <f>0.166573484736047*(8350/2783.333)</f>
        <v>0.49972051405491064</v>
      </c>
      <c r="AU194" s="2">
        <f>0.134183395725467*(8350/2783.333)</f>
        <v>0.40255023538600943</v>
      </c>
      <c r="AV194" s="2">
        <f>0.115087377898814*(8350/2783.333)</f>
        <v>0.3452621750452049</v>
      </c>
      <c r="AW194" s="2">
        <f>0.116419746624008*(8350/2783.333)</f>
        <v>0.34925928169948317</v>
      </c>
    </row>
    <row r="195" spans="1:49" x14ac:dyDescent="0.25">
      <c r="A195" s="5">
        <v>45817</v>
      </c>
      <c r="B195" s="2">
        <f>0.319400576771894*(8350/2783.333)</f>
        <v>0.95820184507039396</v>
      </c>
      <c r="C195" s="2">
        <f>0.348418549885868*(8350/2783.333)</f>
        <v>1.0452557748379367</v>
      </c>
      <c r="D195" s="2">
        <f>0.267980582744992*(8350/2783.333)</f>
        <v>0.80394184451543638</v>
      </c>
      <c r="E195" s="2">
        <f>0.271949200020497*(8350/2783.333)</f>
        <v>0.81584769776780297</v>
      </c>
      <c r="F195" s="2">
        <f>0.207005589414461*(8350/2783.333)</f>
        <v>0.62101684261665846</v>
      </c>
      <c r="G195" s="2">
        <f>0.270540385636369*(8350/2783.333)</f>
        <v>0.81162125410925656</v>
      </c>
      <c r="H195" s="2">
        <f>0.27742619559228*(8350/2783.333)</f>
        <v>0.83227868645093384</v>
      </c>
      <c r="I195" s="2">
        <f>0.264680697746106*(8350/2783.333)</f>
        <v>0.79404218833319173</v>
      </c>
      <c r="J195" s="2">
        <f>0.218257807538972*(8350/2783.333)</f>
        <v>0.65477350103290444</v>
      </c>
      <c r="K195" s="2">
        <f>0.288079028638341*(8350/2783.333)</f>
        <v>0.86423718941648331</v>
      </c>
      <c r="L195" s="2">
        <f>0.213851664077114*(8350/2783.333)</f>
        <v>0.64155506906428439</v>
      </c>
      <c r="M195" s="2">
        <f>0.152871770587968*(8350/2783.333)</f>
        <v>0.45861536668789965</v>
      </c>
      <c r="N195" s="2">
        <f>0.118986859281413*(8350/2783.333)</f>
        <v>0.35696062059401301</v>
      </c>
      <c r="O195" s="2">
        <f>0.208449778335037*(8350/2783.333)</f>
        <v>0.62534940989725474</v>
      </c>
      <c r="P195" s="2">
        <f>0.394858245627914*(8350/2783.333)</f>
        <v>1.184574878748998</v>
      </c>
      <c r="Q195" s="2">
        <f>0.214133749918757*(8350/2783.333)</f>
        <v>0.64240132669056049</v>
      </c>
      <c r="R195" s="2">
        <f>0.0982562325555656*(8350/2783.333)</f>
        <v>0.2947687329683415</v>
      </c>
      <c r="S195" s="2">
        <f>0.00138673479763385*(8350/2783.333)</f>
        <v>4.1602048911296898E-3</v>
      </c>
      <c r="T195" s="2">
        <f t="shared" si="49"/>
        <v>0.10069243236843764</v>
      </c>
      <c r="U195" s="2">
        <f t="shared" si="50"/>
        <v>0.11437794326585224</v>
      </c>
      <c r="V195" s="2">
        <f t="shared" si="51"/>
        <v>0.11043877033537902</v>
      </c>
      <c r="W195" s="2">
        <f t="shared" si="52"/>
        <v>0.10705744606724045</v>
      </c>
      <c r="X195" s="2">
        <f t="shared" si="53"/>
        <v>0.11728533803050227</v>
      </c>
      <c r="Y195" s="2">
        <f t="shared" si="54"/>
        <v>0.10928020503416074</v>
      </c>
      <c r="Z195" s="2">
        <f t="shared" si="55"/>
        <v>0.10579568013572224</v>
      </c>
      <c r="AA195" s="2">
        <f t="shared" si="56"/>
        <v>0.11798772791544039</v>
      </c>
      <c r="AB195" s="2">
        <f t="shared" si="57"/>
        <v>0.10026757173055721</v>
      </c>
      <c r="AC195" s="2">
        <f t="shared" si="58"/>
        <v>0.1151901624778385</v>
      </c>
      <c r="AD195" s="2">
        <f t="shared" si="59"/>
        <v>0.10227444344259566</v>
      </c>
      <c r="AE195" s="2">
        <f t="shared" si="60"/>
        <v>0.10987695088187602</v>
      </c>
      <c r="AF195" s="2">
        <f t="shared" si="61"/>
        <v>0.11908712371493149</v>
      </c>
      <c r="AG195" s="2">
        <f t="shared" si="62"/>
        <v>9.9235315312320327E-2</v>
      </c>
      <c r="AH195" s="2">
        <f t="shared" si="63"/>
        <v>0.1199891551819615</v>
      </c>
      <c r="AI195" s="2">
        <f t="shared" si="64"/>
        <v>0.10099811712417744</v>
      </c>
      <c r="AJ195" s="2">
        <f>0.143263480962022*(8350/2783.333)</f>
        <v>0.42979049435798061</v>
      </c>
      <c r="AK195" s="2">
        <f>0.0935299840186002*(8350/2783.333)</f>
        <v>0.28058998565939158</v>
      </c>
      <c r="AL195" s="2">
        <f>0.15233870246645*(8350/2783.333)</f>
        <v>0.45701616213182478</v>
      </c>
      <c r="AM195" s="2">
        <f>0.117324582119117*(8350/2783.333)</f>
        <v>0.3519737885099008</v>
      </c>
      <c r="AN195" s="2">
        <f>0.136023084433918*(8350/2783.333)</f>
        <v>0.40806930217232878</v>
      </c>
      <c r="AO195" s="2">
        <f>0.0610390601025514*(8350/2783.333)</f>
        <v>0.18311720223785805</v>
      </c>
      <c r="AP195" s="2">
        <f>0.0613034674715073*(8350/2783.333)</f>
        <v>0.1839104244397225</v>
      </c>
      <c r="AQ195" s="2">
        <f>0.0914730685271599*(8350/2783.333)</f>
        <v>0.27441923844605914</v>
      </c>
      <c r="AR195" s="2">
        <f>0.128058621860174*(8350/2783.333)</f>
        <v>0.38417591158961228</v>
      </c>
      <c r="AS195" s="2">
        <f>0.288927589114813*(8350/2783.333)</f>
        <v>0.86678287115077068</v>
      </c>
      <c r="AT195" s="2">
        <f>0.192477629015866*(8350/2783.333)</f>
        <v>0.57743295620124535</v>
      </c>
      <c r="AU195" s="2">
        <f>0.104825594682936*(8350/2783.333)</f>
        <v>0.3144768217107019</v>
      </c>
      <c r="AV195" s="2">
        <f>0.103160422181171*(8350/2783.333)</f>
        <v>0.30948130360714188</v>
      </c>
      <c r="AW195" s="2">
        <f>0.0983894520867786*(8350/2783.333)</f>
        <v>0.29516839160984376</v>
      </c>
    </row>
    <row r="196" spans="1:49" x14ac:dyDescent="0.25">
      <c r="A196" s="5">
        <v>45818</v>
      </c>
      <c r="B196" s="2">
        <f>0.277374185091382*(8350/2783.333)</f>
        <v>0.83212265492955284</v>
      </c>
      <c r="C196" s="2">
        <f>0.311894674311625*(8350/2783.333)</f>
        <v>0.93568413499285674</v>
      </c>
      <c r="D196" s="2">
        <f>0.244507830971708*(8350/2783.333)</f>
        <v>0.73352358076225999</v>
      </c>
      <c r="E196" s="2">
        <f>0.285384509731902*(8350/2783.333)</f>
        <v>0.85615363172907466</v>
      </c>
      <c r="F196" s="2">
        <f>0.207005589414461*(8350/2783.333)</f>
        <v>0.62101684261665846</v>
      </c>
      <c r="G196" s="2">
        <f>0.259642962046813*(8350/2783.333)</f>
        <v>0.77892897942534645</v>
      </c>
      <c r="H196" s="2">
        <f>0.248776330298757*(8350/2783.333)</f>
        <v>0.74632908027699918</v>
      </c>
      <c r="I196" s="2">
        <f>0.21575204763459*(8350/2783.333)</f>
        <v>0.64725622041948561</v>
      </c>
      <c r="J196" s="2">
        <f>0.209543339724349*(8350/2783.333)</f>
        <v>0.62863009445808826</v>
      </c>
      <c r="K196" s="2">
        <f>0.267127826555553*(8350/2783.333)</f>
        <v>0.80138357564073925</v>
      </c>
      <c r="L196" s="2">
        <f>0.192632919197867*(8350/2783.333)</f>
        <v>0.57789882680304216</v>
      </c>
      <c r="M196" s="2">
        <f>0.0938377150871388*(8350/2783.333)</f>
        <v>0.28151317897556971</v>
      </c>
      <c r="N196" s="2">
        <f>0.130412749742211*(8350/2783.333)</f>
        <v>0.39123829608151789</v>
      </c>
      <c r="O196" s="2">
        <f>0.221595259851661*(8350/2783.333)</f>
        <v>0.66478585917005451</v>
      </c>
      <c r="P196" s="2">
        <f>0.162943686514576*(8350/2783.333)</f>
        <v>0.48883111808637653</v>
      </c>
      <c r="Q196" s="2">
        <f>0.0188664096844719*(8350/2783.333)</f>
        <v>5.6599235831767444E-2</v>
      </c>
      <c r="R196" s="2">
        <f>0.0249362408379655*(8350/2783.333)</f>
        <v>7.4808731473026066E-2</v>
      </c>
      <c r="S196" s="2">
        <f>0.00693367398816927*(8350/2783.333)</f>
        <v>2.0801024455648454E-2</v>
      </c>
      <c r="T196" s="2">
        <f t="shared" si="49"/>
        <v>0.10069243236843764</v>
      </c>
      <c r="U196" s="2">
        <f t="shared" si="50"/>
        <v>0.11437794326585224</v>
      </c>
      <c r="V196" s="2">
        <f t="shared" si="51"/>
        <v>0.11043877033537902</v>
      </c>
      <c r="W196" s="2">
        <f t="shared" si="52"/>
        <v>0.10705744606724045</v>
      </c>
      <c r="X196" s="2">
        <f t="shared" si="53"/>
        <v>0.11728533803050227</v>
      </c>
      <c r="Y196" s="2">
        <f t="shared" si="54"/>
        <v>0.10928020503416074</v>
      </c>
      <c r="Z196" s="2">
        <f t="shared" si="55"/>
        <v>0.10579568013572224</v>
      </c>
      <c r="AA196" s="2">
        <f t="shared" si="56"/>
        <v>0.11798772791544039</v>
      </c>
      <c r="AB196" s="2">
        <f t="shared" si="57"/>
        <v>0.10026757173055721</v>
      </c>
      <c r="AC196" s="2">
        <f t="shared" si="58"/>
        <v>0.1151901624778385</v>
      </c>
      <c r="AD196" s="2">
        <f t="shared" si="59"/>
        <v>0.10227444344259566</v>
      </c>
      <c r="AE196" s="2">
        <f t="shared" si="60"/>
        <v>0.10987695088187602</v>
      </c>
      <c r="AF196" s="2">
        <f t="shared" si="61"/>
        <v>0.11908712371493149</v>
      </c>
      <c r="AG196" s="2">
        <f t="shared" si="62"/>
        <v>9.9235315312320327E-2</v>
      </c>
      <c r="AH196" s="2">
        <f t="shared" si="63"/>
        <v>0.1199891551819615</v>
      </c>
      <c r="AI196" s="2">
        <f t="shared" si="64"/>
        <v>0.10099811712417744</v>
      </c>
      <c r="AJ196" s="2">
        <f>0*(8350/2783.333)</f>
        <v>0</v>
      </c>
      <c r="AK196" s="2">
        <f>0*(8350/2783.333)</f>
        <v>0</v>
      </c>
      <c r="AL196" s="2">
        <f>0.0175333223593461*(8350/2783.333)</f>
        <v>5.2599973377436431E-2</v>
      </c>
      <c r="AM196" s="2">
        <f>0.0231344246432062*(8350/2783.333)</f>
        <v>6.9403282241388933E-2</v>
      </c>
      <c r="AN196" s="2">
        <f>0.0198755191866912*(8350/2783.333)</f>
        <v>5.9626564700979545E-2</v>
      </c>
      <c r="AO196" s="2">
        <f>0*(8350/2783.333)</f>
        <v>0</v>
      </c>
      <c r="AP196" s="2">
        <f>0.0241548988678494*(8350/2783.333)</f>
        <v>7.2464705281955893E-2</v>
      </c>
      <c r="AQ196" s="2">
        <f>0.0226988725604434*(8350/2783.333)</f>
        <v>6.8096625836614647E-2</v>
      </c>
      <c r="AR196" s="2">
        <f>0.11793153696817*(8350/2783.333)</f>
        <v>0.35379465327512777</v>
      </c>
      <c r="AS196" s="2">
        <f>0.0950229299759902*(8350/2783.333)</f>
        <v>0.28506882406794959</v>
      </c>
      <c r="AT196" s="2">
        <f>0.108699035807086*(8350/2783.333)</f>
        <v>0.32609714647480881</v>
      </c>
      <c r="AU196" s="2">
        <f>0.104493868117483*(8350/2783.333)</f>
        <v>0.31348164189516153</v>
      </c>
      <c r="AV196" s="2">
        <f>0.101456571364365*(8350/2783.333)</f>
        <v>0.3043697505445615</v>
      </c>
      <c r="AW196" s="2">
        <f>0.101964424279505*(8350/2783.333)</f>
        <v>0.30589330947244459</v>
      </c>
    </row>
    <row r="197" spans="1:49" x14ac:dyDescent="0.25">
      <c r="A197" s="5">
        <v>45819</v>
      </c>
      <c r="B197" s="2">
        <f>0.298387380931638*(8350/2783.333)</f>
        <v>0.89516224999997362</v>
      </c>
      <c r="C197" s="2">
        <f>0.287385231492068*(8350/2783.333)</f>
        <v>0.86215579772839535</v>
      </c>
      <c r="D197" s="2">
        <f>0.230424179907738*(8350/2783.333)</f>
        <v>0.69127262251035382</v>
      </c>
      <c r="E197" s="2">
        <f>0.243688720972371*(8350/2783.333)</f>
        <v>0.73106625046995644</v>
      </c>
      <c r="F197" s="2">
        <f>0.169900813953378*(8350/2783.333)</f>
        <v>0.50970250290235142</v>
      </c>
      <c r="G197" s="2">
        <f>0.202786838970868*(8350/2783.333)</f>
        <v>0.60836058977016116</v>
      </c>
      <c r="H197" s="2">
        <f>0.227766429083507*(8350/2783.333)</f>
        <v>0.68329936908277988</v>
      </c>
      <c r="I197" s="2">
        <f>0.22180988050554*(8350/2783.333)</f>
        <v>0.66542972120880128</v>
      </c>
      <c r="J197" s="2">
        <f>0.181419375413519*(8350/2783.333)</f>
        <v>0.54425819142117993</v>
      </c>
      <c r="K197" s="2">
        <f>0.23674858353551*(8350/2783.333)</f>
        <v>0.71024583566591004</v>
      </c>
      <c r="L197" s="2">
        <f>0.196793457409484*(8350/2783.333)</f>
        <v>0.59038044293269765</v>
      </c>
      <c r="M197" s="2">
        <f>0.177102166502487*(8350/2783.333)</f>
        <v>0.53130656313699065</v>
      </c>
      <c r="N197" s="2">
        <f>0.0815572181167299*(8350/2783.333)</f>
        <v>0.2446716836521878</v>
      </c>
      <c r="O197" s="2">
        <f>0.275679526662913*(8350/2783.333)</f>
        <v>0.82703867903528794</v>
      </c>
      <c r="P197" s="2">
        <f>0.318128149861791*(8350/2783.333)</f>
        <v>0.95438456388292636</v>
      </c>
      <c r="Q197" s="2">
        <f>0.541465957944345*(8350/2783.333)</f>
        <v>1.624398068371725</v>
      </c>
      <c r="R197" s="2">
        <f>0.0655041550370437*(8350/2783.333)</f>
        <v>0.19651248864556095</v>
      </c>
      <c r="S197" s="2">
        <f>0.0269642877317694*(8350/2783.333)</f>
        <v>8.0892872883077324E-2</v>
      </c>
      <c r="T197" s="2">
        <f t="shared" si="49"/>
        <v>0.10069243236843764</v>
      </c>
      <c r="U197" s="2">
        <f t="shared" si="50"/>
        <v>0.11437794326585224</v>
      </c>
      <c r="V197" s="2">
        <f t="shared" si="51"/>
        <v>0.11043877033537902</v>
      </c>
      <c r="W197" s="2">
        <f t="shared" si="52"/>
        <v>0.10705744606724045</v>
      </c>
      <c r="X197" s="2">
        <f t="shared" si="53"/>
        <v>0.11728533803050227</v>
      </c>
      <c r="Y197" s="2">
        <f t="shared" si="54"/>
        <v>0.10928020503416074</v>
      </c>
      <c r="Z197" s="2">
        <f t="shared" si="55"/>
        <v>0.10579568013572224</v>
      </c>
      <c r="AA197" s="2">
        <f t="shared" si="56"/>
        <v>0.11798772791544039</v>
      </c>
      <c r="AB197" s="2">
        <f t="shared" si="57"/>
        <v>0.10026757173055721</v>
      </c>
      <c r="AC197" s="2">
        <f t="shared" si="58"/>
        <v>0.1151901624778385</v>
      </c>
      <c r="AD197" s="2">
        <f t="shared" si="59"/>
        <v>0.10227444344259566</v>
      </c>
      <c r="AE197" s="2">
        <f t="shared" si="60"/>
        <v>0.10987695088187602</v>
      </c>
      <c r="AF197" s="2">
        <f t="shared" si="61"/>
        <v>0.11908712371493149</v>
      </c>
      <c r="AG197" s="2">
        <f t="shared" si="62"/>
        <v>9.9235315312320327E-2</v>
      </c>
      <c r="AH197" s="2">
        <f t="shared" si="63"/>
        <v>0.1199891551819615</v>
      </c>
      <c r="AI197" s="2">
        <f t="shared" si="64"/>
        <v>0.10099811712417744</v>
      </c>
      <c r="AJ197" s="2">
        <f>0*(8350/2783.333)</f>
        <v>0</v>
      </c>
      <c r="AK197" s="2">
        <f>0*(8350/2783.333)</f>
        <v>0</v>
      </c>
      <c r="AL197" s="2">
        <f>0*(8350/2783.333)</f>
        <v>0</v>
      </c>
      <c r="AM197" s="2">
        <f>0*(8350/2783.333)</f>
        <v>0</v>
      </c>
      <c r="AN197" s="2">
        <f>0.390367619026107*(8350/2783.333)</f>
        <v>1.1711029973301765</v>
      </c>
      <c r="AO197" s="2">
        <f>0.13252490310774*(8350/2783.333)</f>
        <v>0.39757475693696337</v>
      </c>
      <c r="AP197" s="2">
        <f>0.044311745509296*(8350/2783.333)</f>
        <v>0.13293525244827767</v>
      </c>
      <c r="AQ197" s="2">
        <f>0.101297953665262*(8350/2783.333)</f>
        <v>0.30389389739026534</v>
      </c>
      <c r="AR197" s="2">
        <f>0.117604856810364*(8350/2783.333)</f>
        <v>0.35281461268433784</v>
      </c>
      <c r="AS197" s="2">
        <f>0.180720428583778*(8350/2783.333)</f>
        <v>0.54216135068083793</v>
      </c>
      <c r="AT197" s="2">
        <f>0.124766163271784*(8350/2783.333)</f>
        <v>0.37429853464152257</v>
      </c>
      <c r="AU197" s="2">
        <f>0.128709907395503*(8350/2783.333)</f>
        <v>0.38612976842959595</v>
      </c>
      <c r="AV197" s="2">
        <f>0.112299258380404*(8350/2783.333)</f>
        <v>0.3368978154882552</v>
      </c>
      <c r="AW197" s="2">
        <f>0.11875125022796*(8350/2783.333)</f>
        <v>0.35625379334900587</v>
      </c>
    </row>
    <row r="198" spans="1:49" x14ac:dyDescent="0.25">
      <c r="A198" s="5">
        <v>45820</v>
      </c>
      <c r="B198" s="2">
        <f>0.34414945187264*(8350/2783.333)</f>
        <v>1.0324484792644451</v>
      </c>
      <c r="C198" s="2">
        <f>0.342171044853432*(8350/2783.333)</f>
        <v>1.0265132574960156</v>
      </c>
      <c r="D198" s="2">
        <f>0.262112394801671*(8350/2783.333)</f>
        <v>0.78633727857714242</v>
      </c>
      <c r="E198" s="2">
        <f>0.303915971402805*(8350/2783.333)</f>
        <v>0.91174802339979355</v>
      </c>
      <c r="F198" s="2">
        <f>0.21520769767428*(8350/2783.333)</f>
        <v>0.645623170342979</v>
      </c>
      <c r="G198" s="2">
        <f>0.289492426661684*(8350/2783.333)</f>
        <v>0.86847738399431862</v>
      </c>
      <c r="H198" s="2">
        <f>0.248776330298757*(8350/2783.333)</f>
        <v>0.74632908027699918</v>
      </c>
      <c r="I198" s="2">
        <f>0.244177263413661*(8350/2783.333)</f>
        <v>0.73253187796935282</v>
      </c>
      <c r="J198" s="2">
        <f>0.223407265793068*(8350/2783.333)</f>
        <v>0.67022187764529617</v>
      </c>
      <c r="K198" s="2">
        <f>0.244081504264485*(8350/2783.333)</f>
        <v>0.73224460048742057</v>
      </c>
      <c r="L198" s="2">
        <f>0.223004848142671*(8350/2783.333)</f>
        <v>0.66901462454952609</v>
      </c>
      <c r="M198" s="2">
        <f>0.208381404864867*(8350/2783.333)</f>
        <v>0.62514428946218026</v>
      </c>
      <c r="N198" s="2">
        <f>0.537016851657502*(8350/2783.333)</f>
        <v>1.611050747912715</v>
      </c>
      <c r="O198" s="2">
        <f>0.478495527205111*(8350/2783.333)</f>
        <v>1.4354867535299141</v>
      </c>
      <c r="P198" s="2">
        <f>0.446586400076986*(8350/2783.333)</f>
        <v>1.3397593606811811</v>
      </c>
      <c r="Q198" s="2">
        <f>0.711735305346704*(8350/2783.333)</f>
        <v>2.1352061717534254</v>
      </c>
      <c r="R198" s="2">
        <f>0.245640581388914*(8350/2783.333)</f>
        <v>0.73692183242085374</v>
      </c>
      <c r="S198" s="2">
        <f>0.0169489808599693*(8350/2783.333)</f>
        <v>5.0846948669362894E-2</v>
      </c>
      <c r="T198" s="2">
        <f t="shared" si="49"/>
        <v>0.10069243236843764</v>
      </c>
      <c r="U198" s="2">
        <f t="shared" si="50"/>
        <v>0.11437794326585224</v>
      </c>
      <c r="V198" s="2">
        <f t="shared" si="51"/>
        <v>0.11043877033537902</v>
      </c>
      <c r="W198" s="2">
        <f t="shared" si="52"/>
        <v>0.10705744606724045</v>
      </c>
      <c r="X198" s="2">
        <f t="shared" si="53"/>
        <v>0.11728533803050227</v>
      </c>
      <c r="Y198" s="2">
        <f t="shared" si="54"/>
        <v>0.10928020503416074</v>
      </c>
      <c r="Z198" s="2">
        <f t="shared" si="55"/>
        <v>0.10579568013572224</v>
      </c>
      <c r="AA198" s="2">
        <f t="shared" si="56"/>
        <v>0.11798772791544039</v>
      </c>
      <c r="AB198" s="2">
        <f t="shared" si="57"/>
        <v>0.10026757173055721</v>
      </c>
      <c r="AC198" s="2">
        <f t="shared" si="58"/>
        <v>0.1151901624778385</v>
      </c>
      <c r="AD198" s="2">
        <f t="shared" si="59"/>
        <v>0.10227444344259566</v>
      </c>
      <c r="AE198" s="2">
        <f t="shared" si="60"/>
        <v>0.10987695088187602</v>
      </c>
      <c r="AF198" s="2">
        <f t="shared" si="61"/>
        <v>0.11908712371493149</v>
      </c>
      <c r="AG198" s="2">
        <f t="shared" si="62"/>
        <v>9.9235315312320327E-2</v>
      </c>
      <c r="AH198" s="2">
        <f t="shared" si="63"/>
        <v>0.1199891551819615</v>
      </c>
      <c r="AI198" s="2">
        <f t="shared" si="64"/>
        <v>0.10099811712417744</v>
      </c>
      <c r="AJ198" s="2">
        <f>0.684784278841748*(8350/2783.333)</f>
        <v>2.0543530825555534</v>
      </c>
      <c r="AK198" s="2">
        <f>1.31361663451765*(8350/2783.333)</f>
        <v>3.9408503755110695</v>
      </c>
      <c r="AL198" s="2">
        <f>1.46388870124836*(8350/2783.333)</f>
        <v>4.3916666296931766</v>
      </c>
      <c r="AM198" s="2">
        <f>1.46407858813434*(8350/2783.333)</f>
        <v>4.3922362904193273</v>
      </c>
      <c r="AN198" s="2">
        <f>1.31830592105475*(8350/2783.333)</f>
        <v>3.9549182368071616</v>
      </c>
      <c r="AO198" s="2">
        <f>0.647103580940496*(8350/2783.333)</f>
        <v>1.9413109753138211</v>
      </c>
      <c r="AP198" s="2">
        <f>0.724646966035481*(8350/2783.333)</f>
        <v>2.1739411584586765</v>
      </c>
      <c r="AQ198" s="2">
        <f>0.716200247653393*(8350/2783.333)</f>
        <v>2.148601000277663</v>
      </c>
      <c r="AR198" s="2">
        <f>0.686191671472691*(8350/2783.333)</f>
        <v>2.0585752609540324</v>
      </c>
      <c r="AS198" s="2">
        <f>0.802308664264283*(8350/2783.333)</f>
        <v>2.4069262810474932</v>
      </c>
      <c r="AT198" s="2">
        <f>0.79073220165547*(8350/2783.333)</f>
        <v>2.3721968890618457</v>
      </c>
      <c r="AU198" s="2">
        <f>0.821520839342691*(8350/2783.333)</f>
        <v>2.4645628131852959</v>
      </c>
      <c r="AV198" s="2">
        <f>0.691608536094487*(8350/2783.333)</f>
        <v>2.0748258567655982</v>
      </c>
      <c r="AW198" s="2">
        <f>0.664167659979155*(8350/2783.333)</f>
        <v>1.9925032185606035</v>
      </c>
    </row>
    <row r="199" spans="1:49" x14ac:dyDescent="0.25">
      <c r="A199" s="5">
        <v>45821</v>
      </c>
      <c r="B199" s="2">
        <f>1.23697679512975*(8350/2783.333)</f>
        <v>3.7109308298120949</v>
      </c>
      <c r="C199" s="2">
        <f>0.289788118043005*(8350/2783.333)</f>
        <v>0.86936445824451902</v>
      </c>
      <c r="D199" s="2">
        <f>0.210472340900446*(8350/2783.333)</f>
        <v>0.63141709832015336</v>
      </c>
      <c r="E199" s="2">
        <f>0.223304113134378*(8350/2783.333)</f>
        <v>0.66991241963216508</v>
      </c>
      <c r="F199" s="2">
        <f>0.21989461667989*(8350/2783.333)</f>
        <v>0.6596839290437333</v>
      </c>
      <c r="G199" s="2">
        <f>0.222212681021816*(8350/2783.333)</f>
        <v>0.66663812290234892</v>
      </c>
      <c r="H199" s="2">
        <f>0.21917146949545*(8350/2783.333)</f>
        <v>0.65751448723059991</v>
      </c>
      <c r="I199" s="2">
        <f>0.222741854793378*(8350/2783.333)</f>
        <v>0.66822564440715726</v>
      </c>
      <c r="J199" s="2">
        <f>0.186172721494223*(8350/2783.333)</f>
        <v>0.55851823137107992</v>
      </c>
      <c r="K199" s="2">
        <f>0.239891263847928*(8350/2783.333)</f>
        <v>0.71967387773227143</v>
      </c>
      <c r="L199" s="2">
        <f>0.253376777087476*(8350/2783.333)</f>
        <v>0.76013042229601002</v>
      </c>
      <c r="M199" s="2">
        <f>0.460377522375869*(8350/2783.333)</f>
        <v>1.3811327325327243</v>
      </c>
      <c r="N199" s="2">
        <f>0.331350823363139*(8350/2783.333)</f>
        <v>0.99405258913763272</v>
      </c>
      <c r="O199" s="2">
        <f>0.117933748463426*(8350/2783.333)</f>
        <v>0.35380128776169001</v>
      </c>
      <c r="P199" s="2">
        <f>0.111215532065504*(8350/2783.333)</f>
        <v>0.3336466361541936</v>
      </c>
      <c r="Q199" s="2">
        <f>0.0518826266322979*(8350/2783.333)</f>
        <v>0.15564789853736047</v>
      </c>
      <c r="R199" s="2">
        <f>0.0856020207870458*(8350/2783.333)</f>
        <v>0.25680609311635799</v>
      </c>
      <c r="S199" s="2">
        <f>0.00416020439290156*(8350/2783.333)</f>
        <v>1.2480614673389075E-2</v>
      </c>
      <c r="T199" s="2">
        <f t="shared" si="49"/>
        <v>0.10069243236843764</v>
      </c>
      <c r="U199" s="2">
        <f t="shared" si="50"/>
        <v>0.11437794326585224</v>
      </c>
      <c r="V199" s="2">
        <f t="shared" si="51"/>
        <v>0.11043877033537902</v>
      </c>
      <c r="W199" s="2">
        <f t="shared" si="52"/>
        <v>0.10705744606724045</v>
      </c>
      <c r="X199" s="2">
        <f t="shared" si="53"/>
        <v>0.11728533803050227</v>
      </c>
      <c r="Y199" s="2">
        <f t="shared" si="54"/>
        <v>0.10928020503416074</v>
      </c>
      <c r="Z199" s="2">
        <f t="shared" si="55"/>
        <v>0.10579568013572224</v>
      </c>
      <c r="AA199" s="2">
        <f t="shared" si="56"/>
        <v>0.11798772791544039</v>
      </c>
      <c r="AB199" s="2">
        <f t="shared" si="57"/>
        <v>0.10026757173055721</v>
      </c>
      <c r="AC199" s="2">
        <f t="shared" si="58"/>
        <v>0.1151901624778385</v>
      </c>
      <c r="AD199" s="2">
        <f t="shared" si="59"/>
        <v>0.10227444344259566</v>
      </c>
      <c r="AE199" s="2">
        <f t="shared" si="60"/>
        <v>0.10987695088187602</v>
      </c>
      <c r="AF199" s="2">
        <f t="shared" si="61"/>
        <v>0.11908712371493149</v>
      </c>
      <c r="AG199" s="2">
        <f t="shared" si="62"/>
        <v>9.9235315312320327E-2</v>
      </c>
      <c r="AH199" s="2">
        <f t="shared" si="63"/>
        <v>0.1199891551819615</v>
      </c>
      <c r="AI199" s="2">
        <f t="shared" si="64"/>
        <v>0.10099811712417744</v>
      </c>
      <c r="AJ199" s="2">
        <f>0.00348683604457831*(8350/2783.333)</f>
        <v>1.046050938649053E-2</v>
      </c>
      <c r="AK199" s="2">
        <f>0*(8350/2783.333)</f>
        <v>0</v>
      </c>
      <c r="AL199" s="2">
        <f>0*(8350/2783.333)</f>
        <v>0</v>
      </c>
      <c r="AM199" s="2">
        <f>0*(8350/2783.333)</f>
        <v>0</v>
      </c>
      <c r="AN199" s="2">
        <f>0*(8350/2783.333)</f>
        <v>0</v>
      </c>
      <c r="AO199" s="2">
        <f>0*(8350/2783.333)</f>
        <v>0</v>
      </c>
      <c r="AP199" s="2">
        <f>0.0411466208300606*(8350/2783.333)</f>
        <v>0.12343987727340069</v>
      </c>
      <c r="AQ199" s="2">
        <f>0.0245622128452559*(8350/2783.333)</f>
        <v>7.3686647360515889E-2</v>
      </c>
      <c r="AR199" s="2">
        <f>0.0702362339284116*(8350/2783.333)</f>
        <v>0.21070872701981294</v>
      </c>
      <c r="AS199" s="2">
        <f>0.129430556058667*(8350/2783.333)</f>
        <v>0.38829171467800216</v>
      </c>
      <c r="AT199" s="2">
        <f>0.175918650710412*(8350/2783.333)</f>
        <v>0.52775601533555005</v>
      </c>
      <c r="AU199" s="2">
        <f>0.174654036710651*(8350/2783.333)</f>
        <v>0.52396217288191327</v>
      </c>
      <c r="AV199" s="2">
        <f>0.195323261817502*(8350/2783.333)</f>
        <v>0.58596985562853754</v>
      </c>
      <c r="AW199" s="2">
        <f>0.111135005121717*(8350/2783.333)</f>
        <v>0.33340505529389924</v>
      </c>
    </row>
    <row r="200" spans="1:49" x14ac:dyDescent="0.25">
      <c r="A200" s="5">
        <v>45822</v>
      </c>
      <c r="B200" s="2">
        <f>0.316598817326527*(8350/2783.333)</f>
        <v>0.94979656572767157</v>
      </c>
      <c r="C200" s="2">
        <f>0.315258715482937*(8350/2783.333)</f>
        <v>0.94577625971543011</v>
      </c>
      <c r="D200" s="2">
        <f>0.257417844447014*(8350/2783.333)</f>
        <v>0.77225362582650725</v>
      </c>
      <c r="E200" s="2">
        <f>0.309012123362303*(8350/2783.333)</f>
        <v>0.92703648110924153</v>
      </c>
      <c r="F200" s="2">
        <f>0.256218238973371*(8350/2783.333)</f>
        <v>0.76865480897458105</v>
      </c>
      <c r="G200" s="2">
        <f>0.269592783585103*(8350/2783.333)</f>
        <v>0.8087784476150035</v>
      </c>
      <c r="H200" s="2">
        <f>0.234451397651995*(8350/2783.333)</f>
        <v>0.70335427719003163</v>
      </c>
      <c r="I200" s="2">
        <f>0.229731661952166*(8350/2783.333)</f>
        <v>0.68919506839483013</v>
      </c>
      <c r="J200" s="2">
        <f>0.211523900591309*(8350/2783.333)</f>
        <v>0.63457177777054652</v>
      </c>
      <c r="K200" s="2">
        <f>0.283888788221783*(8350/2783.333)</f>
        <v>0.85166646666133416</v>
      </c>
      <c r="L200" s="2">
        <f>0.20802691058085*(8350/2783.333)</f>
        <v>0.62408080648276631</v>
      </c>
      <c r="M200" s="2">
        <f>0.48857289216731*(8350/2783.333)</f>
        <v>1.4657188520371207</v>
      </c>
      <c r="N200" s="2">
        <f>0.238367714785612*(8350/2783.333)</f>
        <v>0.71510322999794051</v>
      </c>
      <c r="O200" s="2">
        <f>0.28732266743478*(8350/2783.333)</f>
        <v>0.86196810553405345</v>
      </c>
      <c r="P200" s="2">
        <f>0.312955334416884*(8350/2783.333)</f>
        <v>0.93886611568970813</v>
      </c>
      <c r="Q200" s="2">
        <f>0.144799694328322*(8350/2783.333)</f>
        <v>0.43439913500881477</v>
      </c>
      <c r="R200" s="2">
        <f>0.147756531532422*(8350/2783.333)</f>
        <v>0.44326964768345284</v>
      </c>
      <c r="S200" s="2">
        <f>0.0708775563235081*(8350/2783.333)</f>
        <v>0.21263269443551752</v>
      </c>
      <c r="T200" s="2">
        <f t="shared" si="49"/>
        <v>0.10069243236843764</v>
      </c>
      <c r="U200" s="2">
        <f t="shared" si="50"/>
        <v>0.11437794326585224</v>
      </c>
      <c r="V200" s="2">
        <f t="shared" si="51"/>
        <v>0.11043877033537902</v>
      </c>
      <c r="W200" s="2">
        <f t="shared" si="52"/>
        <v>0.10705744606724045</v>
      </c>
      <c r="X200" s="2">
        <f t="shared" si="53"/>
        <v>0.11728533803050227</v>
      </c>
      <c r="Y200" s="2">
        <f t="shared" si="54"/>
        <v>0.10928020503416074</v>
      </c>
      <c r="Z200" s="2">
        <f t="shared" si="55"/>
        <v>0.10579568013572224</v>
      </c>
      <c r="AA200" s="2">
        <f t="shared" si="56"/>
        <v>0.11798772791544039</v>
      </c>
      <c r="AB200" s="2">
        <f t="shared" si="57"/>
        <v>0.10026757173055721</v>
      </c>
      <c r="AC200" s="2">
        <f t="shared" si="58"/>
        <v>0.1151901624778385</v>
      </c>
      <c r="AD200" s="2">
        <f t="shared" si="59"/>
        <v>0.10227444344259566</v>
      </c>
      <c r="AE200" s="2">
        <f t="shared" si="60"/>
        <v>0.10987695088187602</v>
      </c>
      <c r="AF200" s="2">
        <f t="shared" si="61"/>
        <v>0.11908712371493149</v>
      </c>
      <c r="AG200" s="2">
        <f t="shared" si="62"/>
        <v>9.9235315312320327E-2</v>
      </c>
      <c r="AH200" s="2">
        <f t="shared" si="63"/>
        <v>0.1199891551819615</v>
      </c>
      <c r="AI200" s="2">
        <f t="shared" si="64"/>
        <v>0.10099811712417744</v>
      </c>
      <c r="AJ200" s="2">
        <f>0.137654222977265*(8350/2783.333)</f>
        <v>0.41296271838840859</v>
      </c>
      <c r="AK200" s="2">
        <f>0.203547625476377*(8350/2783.333)</f>
        <v>0.61064294956002196</v>
      </c>
      <c r="AL200" s="2">
        <f>0.0985890093320612*(8350/2783.333)</f>
        <v>0.29576706341738868</v>
      </c>
      <c r="AM200" s="2">
        <f>0.0429639314802401*(8350/2783.333)</f>
        <v>0.12889180987686516</v>
      </c>
      <c r="AN200" s="2">
        <f>0.0232916240469037*(8350/2783.333)</f>
        <v>6.9874880508960402E-2</v>
      </c>
      <c r="AO200" s="2">
        <f>0.0579050252317603*(8350/2783.333)</f>
        <v>0.17371509649948397</v>
      </c>
      <c r="AP200" s="2">
        <f>0.0879571489808583*(8350/2783.333)</f>
        <v>0.26387147854394971</v>
      </c>
      <c r="AQ200" s="2">
        <f>0.145340542215376*(8350/2783.333)</f>
        <v>0.43602167886429377</v>
      </c>
      <c r="AR200" s="2">
        <f>0.260854106008543*(8350/2783.333)</f>
        <v>0.78256241174567709</v>
      </c>
      <c r="AS200" s="2">
        <f>0.148081418795071*(8350/2783.333)</f>
        <v>0.44424430958812433</v>
      </c>
      <c r="AT200" s="2">
        <f>0.218545723575936*(8350/2783.333)</f>
        <v>0.65563724924724054</v>
      </c>
      <c r="AU200" s="2">
        <f>0.114777391646505*(8350/2783.333)</f>
        <v>0.34433221617690762</v>
      </c>
      <c r="AV200" s="2">
        <f>0.102540840065969*(8350/2783.333)</f>
        <v>0.30762255703893088</v>
      </c>
      <c r="AW200" s="2">
        <f>0.106938298634603*(8350/2783.333)</f>
        <v>0.32081493432475894</v>
      </c>
    </row>
    <row r="201" spans="1:49" x14ac:dyDescent="0.25">
      <c r="A201" s="5">
        <v>45823</v>
      </c>
      <c r="B201" s="2">
        <f>0.324537135755068*(8350/2783.333)</f>
        <v>0.97361152386538596</v>
      </c>
      <c r="C201" s="2">
        <f>0.35178259105718*(8350/2783.333)</f>
        <v>1.0553478995605106</v>
      </c>
      <c r="D201" s="2">
        <f>0.282846658868072*(8350/2783.333)</f>
        <v>0.84854007822578215</v>
      </c>
      <c r="E201" s="2">
        <f>0.337735888952202*(8350/2783.333)</f>
        <v>1.0132077881988562</v>
      </c>
      <c r="F201" s="2">
        <f>0.286683212509839*(8350/2783.333)</f>
        <v>0.86004974052948502</v>
      </c>
      <c r="G201" s="2">
        <f>0.304654059481936*(8350/2783.333)</f>
        <v>0.913962287902368</v>
      </c>
      <c r="H201" s="2">
        <f>0.294616114768394*(8350/2783.333)</f>
        <v>0.88384845015529456</v>
      </c>
      <c r="I201" s="2">
        <f>0.287514067798147*(8350/2783.333)</f>
        <v>0.86254230669292109</v>
      </c>
      <c r="J201" s="2">
        <f>0.241232313595706*(8350/2783.333)</f>
        <v>0.72369702745742059</v>
      </c>
      <c r="K201" s="2">
        <f>0.312696691085617*(8350/2783.333)</f>
        <v>0.93809018560298241</v>
      </c>
      <c r="L201" s="2">
        <f>0.232158032208229*(8350/2783.333)</f>
        <v>0.69647418003476791</v>
      </c>
      <c r="M201" s="2">
        <f>0.244947275063142*(8350/2783.333)</f>
        <v>0.73484191319444492</v>
      </c>
      <c r="N201" s="2">
        <f>0.206848016962721*(8350/2783.333)</f>
        <v>0.62054412520482405</v>
      </c>
      <c r="O201" s="2">
        <f>0.38835508251969*(8350/2783.333)</f>
        <v>1.165065387087858</v>
      </c>
      <c r="P201" s="2">
        <f>0.281918441747441*(8350/2783.333)</f>
        <v>0.84575542653039826</v>
      </c>
      <c r="Q201" s="2">
        <f>0.624949820798133*(8350/2783.333)</f>
        <v>1.8748496869272959</v>
      </c>
      <c r="R201" s="2">
        <f>0.610379626481544*(8350/2783.333)</f>
        <v>1.8311390987427265</v>
      </c>
      <c r="S201" s="2">
        <f>0.122186743835961*(8350/2783.333)</f>
        <v>0.36656027540731628</v>
      </c>
      <c r="T201" s="2">
        <f t="shared" si="49"/>
        <v>0.10069243236843764</v>
      </c>
      <c r="U201" s="2">
        <f t="shared" si="50"/>
        <v>0.11437794326585224</v>
      </c>
      <c r="V201" s="2">
        <f t="shared" si="51"/>
        <v>0.11043877033537902</v>
      </c>
      <c r="W201" s="2">
        <f t="shared" si="52"/>
        <v>0.10705744606724045</v>
      </c>
      <c r="X201" s="2">
        <f t="shared" si="53"/>
        <v>0.11728533803050227</v>
      </c>
      <c r="Y201" s="2">
        <f t="shared" si="54"/>
        <v>0.10928020503416074</v>
      </c>
      <c r="Z201" s="2">
        <f t="shared" si="55"/>
        <v>0.10579568013572224</v>
      </c>
      <c r="AA201" s="2">
        <f t="shared" si="56"/>
        <v>0.11798772791544039</v>
      </c>
      <c r="AB201" s="2">
        <f t="shared" si="57"/>
        <v>0.10026757173055721</v>
      </c>
      <c r="AC201" s="2">
        <f t="shared" si="58"/>
        <v>0.1151901624778385</v>
      </c>
      <c r="AD201" s="2">
        <f t="shared" si="59"/>
        <v>0.10227444344259566</v>
      </c>
      <c r="AE201" s="2">
        <f t="shared" si="60"/>
        <v>0.10987695088187602</v>
      </c>
      <c r="AF201" s="2">
        <f t="shared" si="61"/>
        <v>0.11908712371493149</v>
      </c>
      <c r="AG201" s="2">
        <f t="shared" si="62"/>
        <v>9.9235315312320327E-2</v>
      </c>
      <c r="AH201" s="2">
        <f t="shared" si="63"/>
        <v>0.1199891551819615</v>
      </c>
      <c r="AI201" s="2">
        <f t="shared" si="64"/>
        <v>0.10099811712417744</v>
      </c>
      <c r="AJ201" s="2">
        <f>0.0248626570135149*(8350/2783.333)</f>
        <v>7.4587979973236851E-2</v>
      </c>
      <c r="AK201" s="2">
        <f>0.0650513029872956*(8350/2783.333)</f>
        <v>0.19515393233361533</v>
      </c>
      <c r="AL201" s="2">
        <f>0.00661092482401576*(8350/2783.333)</f>
        <v>1.983277684723014E-2</v>
      </c>
      <c r="AM201" s="2">
        <f>0*(8350/2783.333)</f>
        <v>0</v>
      </c>
      <c r="AN201" s="2">
        <f>0.00093166496187615*(8350/2783.333)</f>
        <v>2.794995220358417E-3</v>
      </c>
      <c r="AO201" s="2">
        <f>0*(8350/2783.333)</f>
        <v>0</v>
      </c>
      <c r="AP201" s="2">
        <f>0.000832927547167219*(8350/2783.333)</f>
        <v>2.4987829407570991E-3</v>
      </c>
      <c r="AQ201" s="2">
        <f>0.0113494362802217*(8350/2783.333)</f>
        <v>3.4048312918307337E-2</v>
      </c>
      <c r="AR201" s="2">
        <f>0.146189370618438*(8350/2783.333)</f>
        <v>0.43856816437844776</v>
      </c>
      <c r="AS201" s="2">
        <f>0.211108472180161*(8350/2783.333)</f>
        <v>0.6333254923878473</v>
      </c>
      <c r="AT201" s="2">
        <f>0.219365474977197*(8350/2783.333)</f>
        <v>0.6580965037455424</v>
      </c>
      <c r="AU201" s="2">
        <f>0.149276954453548*(8350/2783.333)</f>
        <v>0.44783091699308819</v>
      </c>
      <c r="AV201" s="2">
        <f>0.133055259239678*(8350/2783.333)</f>
        <v>0.39916582552332569</v>
      </c>
      <c r="AW201" s="2">
        <f>0.0926384098636967*(8350/2783.333)</f>
        <v>0.27791526287435525</v>
      </c>
    </row>
    <row r="202" spans="1:49" x14ac:dyDescent="0.25">
      <c r="A202" s="5">
        <v>45824</v>
      </c>
      <c r="B202" s="2">
        <f>0.294184741763587*(8350/2783.333)</f>
        <v>0.88255433098588965</v>
      </c>
      <c r="C202" s="2">
        <f>0.294593891144879*(8350/2783.333)</f>
        <v>0.88378177927676627</v>
      </c>
      <c r="D202" s="2">
        <f>0.238248430498832*(8350/2783.333)</f>
        <v>0.71474537709474562</v>
      </c>
      <c r="E202" s="2">
        <f>0.28862751552431*(8350/2783.333)</f>
        <v>0.86588265027145039</v>
      </c>
      <c r="F202" s="2">
        <f>0.248016130713553*(8350/2783.333)</f>
        <v>0.74404848124826062</v>
      </c>
      <c r="G202" s="2">
        <f>0.25253594666232*(8350/2783.333)</f>
        <v>0.75760793071844834</v>
      </c>
      <c r="H202" s="2">
        <f>0.244956348259621*(8350/2783.333)</f>
        <v>0.73486913278714117</v>
      </c>
      <c r="I202" s="2">
        <f>0.238585417686631*(8350/2783.333)</f>
        <v>0.7157563387792153</v>
      </c>
      <c r="J202" s="2">
        <f>0.200828871909726*(8350/2783.333)</f>
        <v>0.60248668788327109</v>
      </c>
      <c r="K202" s="2">
        <f>0.252985765149671*(8350/2783.333)</f>
        <v>0.75895738634211185</v>
      </c>
      <c r="L202" s="2">
        <f>0.190552650092059*(8350/2783.333)</f>
        <v>0.57165801873821431</v>
      </c>
      <c r="M202" s="2">
        <f>0.137452427733274*(8350/2783.333)</f>
        <v>0.41235733258393281</v>
      </c>
      <c r="N202" s="2">
        <f>0.0799812332255854*(8350/2783.333)</f>
        <v>0.23994372841253203</v>
      </c>
      <c r="O202" s="2">
        <f>0.089764859499232*(8350/2783.333)</f>
        <v>0.26929461074854749</v>
      </c>
      <c r="P202" s="2">
        <f>0.130182522030164*(8350/2783.333)</f>
        <v>0.39054761286266088</v>
      </c>
      <c r="Q202" s="2">
        <f>0.0966903496329187*(8350/2783.333)</f>
        <v>0.29007108363780809</v>
      </c>
      <c r="R202" s="2">
        <f>0.0308911640231513*(8350/2783.333)</f>
        <v>9.2673503168077029E-2</v>
      </c>
      <c r="S202" s="2">
        <f>0.0530040855984495*(8350/2783.333)</f>
        <v>0.15901227583873487</v>
      </c>
      <c r="T202" s="2">
        <f t="shared" si="49"/>
        <v>0.10069243236843764</v>
      </c>
      <c r="U202" s="2">
        <f t="shared" si="50"/>
        <v>0.11437794326585224</v>
      </c>
      <c r="V202" s="2">
        <f t="shared" si="51"/>
        <v>0.11043877033537902</v>
      </c>
      <c r="W202" s="2">
        <f t="shared" si="52"/>
        <v>0.10705744606724045</v>
      </c>
      <c r="X202" s="2">
        <f t="shared" si="53"/>
        <v>0.11728533803050227</v>
      </c>
      <c r="Y202" s="2">
        <f t="shared" si="54"/>
        <v>0.10928020503416074</v>
      </c>
      <c r="Z202" s="2">
        <f t="shared" si="55"/>
        <v>0.10579568013572224</v>
      </c>
      <c r="AA202" s="2">
        <f t="shared" si="56"/>
        <v>0.11798772791544039</v>
      </c>
      <c r="AB202" s="2">
        <f t="shared" si="57"/>
        <v>0.10026757173055721</v>
      </c>
      <c r="AC202" s="2">
        <f t="shared" si="58"/>
        <v>0.1151901624778385</v>
      </c>
      <c r="AD202" s="2">
        <f t="shared" si="59"/>
        <v>0.10227444344259566</v>
      </c>
      <c r="AE202" s="2">
        <f t="shared" si="60"/>
        <v>0.10987695088187602</v>
      </c>
      <c r="AF202" s="2">
        <f t="shared" si="61"/>
        <v>0.11908712371493149</v>
      </c>
      <c r="AG202" s="2">
        <f t="shared" si="62"/>
        <v>9.9235315312320327E-2</v>
      </c>
      <c r="AH202" s="2">
        <f t="shared" si="63"/>
        <v>0.1199891551819615</v>
      </c>
      <c r="AI202" s="2">
        <f t="shared" si="64"/>
        <v>0.10099811712417744</v>
      </c>
      <c r="AJ202" s="2">
        <f>0.0140989457454688*(8350/2783.333)</f>
        <v>4.2296842301896495E-2</v>
      </c>
      <c r="AK202" s="2">
        <f>0.0281789054415013*(8350/2783.333)</f>
        <v>8.4536726448662877E-2</v>
      </c>
      <c r="AL202" s="2">
        <f>0.042539864084971*(8350/2783.333)</f>
        <v>0.12761960753869828</v>
      </c>
      <c r="AM202" s="2">
        <f>0.0846058958380113*(8350/2783.333)</f>
        <v>0.25381771791136531</v>
      </c>
      <c r="AN202" s="2">
        <f>0.0593160025727816*(8350/2783.333)</f>
        <v>0.17794802902948587</v>
      </c>
      <c r="AO202" s="2">
        <f>0.0158194141097077*(8350/2783.333)</f>
        <v>4.7458248012745639E-2</v>
      </c>
      <c r="AP202" s="2">
        <f>0.0146595248301431*(8350/2783.333)</f>
        <v>4.3978579757324957E-2</v>
      </c>
      <c r="AQ202" s="2">
        <f>0.0252397911306423*(8350/2783.333)</f>
        <v>7.5719382460116322E-2</v>
      </c>
      <c r="AR202" s="2">
        <f>0.183267568529483*(8350/2783.333)</f>
        <v>0.5498027714330932</v>
      </c>
      <c r="AS202" s="2">
        <f>0.158693116558887*(8350/2783.333)</f>
        <v>0.47607940669215942</v>
      </c>
      <c r="AT202" s="2">
        <f>0.260025144479696*(8350/2783.333)</f>
        <v>0.78007552686130788</v>
      </c>
      <c r="AU202" s="2">
        <f>0.14529623566812*(8350/2783.333)</f>
        <v>0.43588875920660569</v>
      </c>
      <c r="AV202" s="2">
        <f>0.268279055882565*(8350/2783.333)</f>
        <v>0.80483726403539013</v>
      </c>
      <c r="AW202" s="2">
        <f>0.346150568400088*(8350/2783.333)</f>
        <v>1.038451829565753</v>
      </c>
    </row>
    <row r="203" spans="1:49" x14ac:dyDescent="0.25">
      <c r="A203" s="5">
        <v>45825</v>
      </c>
      <c r="B203" s="2">
        <f>0.408122959208531*(8350/2783.333)</f>
        <v>1.2243690242566148</v>
      </c>
      <c r="C203" s="2">
        <f>0.276812530667945*(8350/2783.333)</f>
        <v>0.83043769145745072</v>
      </c>
      <c r="D203" s="2">
        <f>0.208516278252673*(8350/2783.333)</f>
        <v>0.62554890967405519</v>
      </c>
      <c r="E203" s="2">
        <f>0.233496417053374*(8350/2783.333)</f>
        <v>0.70048933505106115</v>
      </c>
      <c r="F203" s="2">
        <f>0.224190959101699*(8350/2783.333)</f>
        <v>0.67257295785275784</v>
      </c>
      <c r="G203" s="2">
        <f>0.231688701534473*(8350/2783.333)</f>
        <v>0.69506618784488006</v>
      </c>
      <c r="H203" s="2">
        <f>0.229198922348183*(8350/2783.333)</f>
        <v>0.68759684939147736</v>
      </c>
      <c r="I203" s="2">
        <f>0.211558163339317*(8350/2783.333)</f>
        <v>0.63467456602688188</v>
      </c>
      <c r="J203" s="2">
        <f>0.184588272800655*(8350/2783.333)</f>
        <v>0.55376488472111352</v>
      </c>
      <c r="K203" s="2">
        <f>0.23570102343137*(8350/2783.333)</f>
        <v>0.70710315497712228</v>
      </c>
      <c r="L203" s="2">
        <f>0.181815519847663*(8350/2783.333)</f>
        <v>0.54544662486593776</v>
      </c>
      <c r="M203" s="2">
        <f>0.151990665281985*(8350/2783.333)</f>
        <v>0.4559720504533874</v>
      </c>
      <c r="N203" s="2">
        <f>0.110318942380118*(8350/2783.333)</f>
        <v>0.3309568667759063</v>
      </c>
      <c r="O203" s="2">
        <f>0.0747414520516617*(8350/2783.333)</f>
        <v>0.22422438300820474</v>
      </c>
      <c r="P203" s="2">
        <f>0.0362097081143502*(8350/2783.333)</f>
        <v>0.10862913735252817</v>
      </c>
      <c r="Q203" s="2">
        <f>0.357990123762855*(8350/2783.333)</f>
        <v>1.0739704999077868</v>
      </c>
      <c r="R203" s="2">
        <f>0.378881987657446*(8350/2783.333)</f>
        <v>1.1366460990976195</v>
      </c>
      <c r="S203" s="2">
        <f>0.0497683710706372*(8350/2783.333)</f>
        <v>0.14930513109276564</v>
      </c>
      <c r="T203" s="2">
        <f t="shared" si="49"/>
        <v>0.10069243236843764</v>
      </c>
      <c r="U203" s="2">
        <f t="shared" si="50"/>
        <v>0.11437794326585224</v>
      </c>
      <c r="V203" s="2">
        <f t="shared" si="51"/>
        <v>0.11043877033537902</v>
      </c>
      <c r="W203" s="2">
        <f t="shared" si="52"/>
        <v>0.10705744606724045</v>
      </c>
      <c r="X203" s="2">
        <f t="shared" si="53"/>
        <v>0.11728533803050227</v>
      </c>
      <c r="Y203" s="2">
        <f t="shared" si="54"/>
        <v>0.10928020503416074</v>
      </c>
      <c r="Z203" s="2">
        <f t="shared" si="55"/>
        <v>0.10579568013572224</v>
      </c>
      <c r="AA203" s="2">
        <f t="shared" si="56"/>
        <v>0.11798772791544039</v>
      </c>
      <c r="AB203" s="2">
        <f t="shared" si="57"/>
        <v>0.10026757173055721</v>
      </c>
      <c r="AC203" s="2">
        <f t="shared" si="58"/>
        <v>0.1151901624778385</v>
      </c>
      <c r="AD203" s="2">
        <f t="shared" si="59"/>
        <v>0.10227444344259566</v>
      </c>
      <c r="AE203" s="2">
        <f t="shared" si="60"/>
        <v>0.10987695088187602</v>
      </c>
      <c r="AF203" s="2">
        <f t="shared" si="61"/>
        <v>0.11908712371493149</v>
      </c>
      <c r="AG203" s="2">
        <f t="shared" si="62"/>
        <v>9.9235315312320327E-2</v>
      </c>
      <c r="AH203" s="2">
        <f t="shared" si="63"/>
        <v>0.1199891551819615</v>
      </c>
      <c r="AI203" s="2">
        <f t="shared" si="64"/>
        <v>0.10099811712417744</v>
      </c>
      <c r="AJ203" s="2">
        <f>0.0231950397748035*(8350/2783.333)</f>
        <v>6.9585127657958726E-2</v>
      </c>
      <c r="AK203" s="2">
        <f>0.00479640943685129*(8350/2783.333)</f>
        <v>1.4389230033814952E-2</v>
      </c>
      <c r="AL203" s="2">
        <f>0.000862294542262925*(8350/2783.333)</f>
        <v>2.5868839365952357E-3</v>
      </c>
      <c r="AM203" s="2">
        <f>0.075682617761346*(8350/2783.333)</f>
        <v>0.22704788047540103</v>
      </c>
      <c r="AN203" s="2">
        <f>0.0692537621661272*(8350/2783.333)</f>
        <v>0.20776131137997564</v>
      </c>
      <c r="AO203" s="2">
        <f>0.0464135640388594*(8350/2783.333)</f>
        <v>0.13924070879211217</v>
      </c>
      <c r="AP203" s="2">
        <f>0.0303185627168868*(8350/2783.333)</f>
        <v>9.0955699043558422E-2</v>
      </c>
      <c r="AQ203" s="2">
        <f>0.171088517060058*(8350/2783.333)</f>
        <v>0.51326561264911053</v>
      </c>
      <c r="AR203" s="2">
        <f>0.174283864189803*(8350/2783.333)</f>
        <v>0.52285165518637278</v>
      </c>
      <c r="AS203" s="2">
        <f>0.0938974468798279*(8350/2783.333)</f>
        <v>0.28169237437509737</v>
      </c>
      <c r="AT203" s="2">
        <f>0.0682033165848384*(8350/2783.333)</f>
        <v>0.20460997425870364</v>
      </c>
      <c r="AU203" s="2">
        <f>0.098025200091163*(8350/2783.333)</f>
        <v>0.2940756354921279</v>
      </c>
      <c r="AV203" s="2">
        <f>0.0890649290603202*(8350/2783.333)</f>
        <v>0.26719481918034027</v>
      </c>
      <c r="AW203" s="2">
        <f>0.089996039112551*(8350/2783.333)</f>
        <v>0.26998814967156315</v>
      </c>
    </row>
    <row r="204" spans="1:49" x14ac:dyDescent="0.25">
      <c r="A204" s="5">
        <v>45826</v>
      </c>
      <c r="B204" s="2">
        <f>0.263832347772105*(8350/2783.333)</f>
        <v>0.79149713810639233</v>
      </c>
      <c r="C204" s="2">
        <f>0.278734839908695*(8350/2783.333)</f>
        <v>0.83620461987034989</v>
      </c>
      <c r="D204" s="2">
        <f>0.228076904730409*(8350/2783.333)</f>
        <v>0.68423079613503612</v>
      </c>
      <c r="E204" s="2">
        <f>0.253417738349595*(8350/2783.333)</f>
        <v>0.76025330609708386</v>
      </c>
      <c r="F204" s="2">
        <f>0.353471808339788*(8350/2783.333)</f>
        <v>1.0604155520152372</v>
      </c>
      <c r="G204" s="2">
        <f>0.235005308713904*(8350/2783.333)</f>
        <v>0.70501601057476626</v>
      </c>
      <c r="H204" s="2">
        <f>0.180016653594302*(8350/2783.333)</f>
        <v>0.54005002545955572</v>
      </c>
      <c r="I204" s="2">
        <f>0.211558163339317*(8350/2783.333)</f>
        <v>0.63467456602688188</v>
      </c>
      <c r="J204" s="2">
        <f>0.168347673691585*(8350/2783.333)</f>
        <v>0.50504308155895516</v>
      </c>
      <c r="K204" s="2">
        <f>0.221035181973418*(8350/2783.333)</f>
        <v>0.66310562533410167</v>
      </c>
      <c r="L204" s="2">
        <f>0.160180721147255*(8350/2783.333)</f>
        <v>0.48054222099173011</v>
      </c>
      <c r="M204" s="2">
        <f>0.147144586099081*(8350/2783.333)</f>
        <v>0.44143381116356917</v>
      </c>
      <c r="N204" s="2">
        <f>0.0823452105623022*(8350/2783.333)</f>
        <v>0.24703566127201571</v>
      </c>
      <c r="O204" s="2">
        <f>0.0270421334056264*(8350/2783.333)</f>
        <v>8.1126409932616786E-2</v>
      </c>
      <c r="P204" s="2">
        <f t="shared" ref="P204:S206" si="65">0*(8350/2783.333)</f>
        <v>0</v>
      </c>
      <c r="Q204" s="2">
        <f t="shared" si="65"/>
        <v>0</v>
      </c>
      <c r="R204" s="2">
        <f t="shared" si="65"/>
        <v>0</v>
      </c>
      <c r="S204" s="2">
        <f t="shared" si="65"/>
        <v>0</v>
      </c>
      <c r="T204" s="2">
        <f t="shared" si="49"/>
        <v>0.10069243236843764</v>
      </c>
      <c r="U204" s="2">
        <f t="shared" si="50"/>
        <v>0.11437794326585224</v>
      </c>
      <c r="V204" s="2">
        <f t="shared" si="51"/>
        <v>0.11043877033537902</v>
      </c>
      <c r="W204" s="2">
        <f t="shared" si="52"/>
        <v>0.10705744606724045</v>
      </c>
      <c r="X204" s="2">
        <f t="shared" si="53"/>
        <v>0.11728533803050227</v>
      </c>
      <c r="Y204" s="2">
        <f t="shared" si="54"/>
        <v>0.10928020503416074</v>
      </c>
      <c r="Z204" s="2">
        <f t="shared" si="55"/>
        <v>0.10579568013572224</v>
      </c>
      <c r="AA204" s="2">
        <f t="shared" si="56"/>
        <v>0.11798772791544039</v>
      </c>
      <c r="AB204" s="2">
        <f t="shared" si="57"/>
        <v>0.10026757173055721</v>
      </c>
      <c r="AC204" s="2">
        <f t="shared" si="58"/>
        <v>0.1151901624778385</v>
      </c>
      <c r="AD204" s="2">
        <f t="shared" si="59"/>
        <v>0.10227444344259566</v>
      </c>
      <c r="AE204" s="2">
        <f t="shared" si="60"/>
        <v>0.10987695088187602</v>
      </c>
      <c r="AF204" s="2">
        <f t="shared" si="61"/>
        <v>0.11908712371493149</v>
      </c>
      <c r="AG204" s="2">
        <f t="shared" si="62"/>
        <v>9.9235315312320327E-2</v>
      </c>
      <c r="AH204" s="2">
        <f t="shared" si="63"/>
        <v>0.1199891551819615</v>
      </c>
      <c r="AI204" s="2">
        <f t="shared" si="64"/>
        <v>0.10099811712417744</v>
      </c>
      <c r="AJ204" s="2">
        <f t="shared" ref="AJ204:AN207" si="66">0*(8350/2783.333)</f>
        <v>0</v>
      </c>
      <c r="AK204" s="2">
        <f t="shared" si="66"/>
        <v>0</v>
      </c>
      <c r="AL204" s="2">
        <f t="shared" si="66"/>
        <v>0</v>
      </c>
      <c r="AM204" s="2">
        <f t="shared" si="66"/>
        <v>0</v>
      </c>
      <c r="AN204" s="2">
        <f t="shared" si="66"/>
        <v>0</v>
      </c>
      <c r="AO204" s="2">
        <f>0.000447719267255878*(8350/2783.333)</f>
        <v>1.3431579626248758E-3</v>
      </c>
      <c r="AP204" s="2">
        <f>0.00616366384903742*(8350/2783.333)</f>
        <v>1.8490993761602535E-2</v>
      </c>
      <c r="AQ204" s="2">
        <f>0.00559002085443755*(8350/2783.333)</f>
        <v>1.6770064571703613E-2</v>
      </c>
      <c r="AR204" s="2">
        <f>0.0307079348338172*(8350/2783.333)</f>
        <v>9.2123815534243828E-2</v>
      </c>
      <c r="AS204" s="2">
        <f>0.0545055385141467*(8350/2783.333)</f>
        <v>0.16351663512527059</v>
      </c>
      <c r="AT204" s="2">
        <f>0.0668917143428222*(8350/2783.333)</f>
        <v>0.20067516706142088</v>
      </c>
      <c r="AU204" s="2">
        <f>0.087907539844867*(8350/2783.333)</f>
        <v>0.26372265111815191</v>
      </c>
      <c r="AV204" s="2">
        <f>0.0833337944946996*(8350/2783.333)</f>
        <v>0.25000141342438797</v>
      </c>
      <c r="AW204" s="2">
        <f>0.0865765004934213*(8350/2783.333)</f>
        <v>0.25972953258559706</v>
      </c>
    </row>
    <row r="205" spans="1:49" x14ac:dyDescent="0.25">
      <c r="A205" s="5">
        <v>45827</v>
      </c>
      <c r="B205" s="2">
        <f>0.225541635352083*(8350/2783.333)</f>
        <v>0.67662498708918217</v>
      </c>
      <c r="C205" s="2">
        <f>0.251341933228013*(8350/2783.333)</f>
        <v>0.75402588998653985</v>
      </c>
      <c r="D205" s="2">
        <f>0.209689915841337*(8350/2783.333)</f>
        <v>0.62906982286171398</v>
      </c>
      <c r="E205" s="2">
        <f>0.241372288263508*(8350/2783.333)</f>
        <v>0.72411695151111632</v>
      </c>
      <c r="F205" s="2">
        <f>0.207786742582063*(8350/2783.333)</f>
        <v>0.62336030240011708</v>
      </c>
      <c r="G205" s="2">
        <f>0.215579466662956*(8350/2783.333)</f>
        <v>0.64673847744257784</v>
      </c>
      <c r="H205" s="2">
        <f>0.204369039093797*(8350/2783.333)</f>
        <v>0.61310719070740072</v>
      </c>
      <c r="I205" s="2">
        <f>0.201306446173095*(8350/2783.333)</f>
        <v>0.60391941084496292</v>
      </c>
      <c r="J205" s="2">
        <f>0.155672084143042*(8350/2783.333)</f>
        <v>0.4670163083592222</v>
      </c>
      <c r="K205" s="2">
        <f>0.206893120567536*(8350/2783.333)</f>
        <v>0.62067943603547426</v>
      </c>
      <c r="L205" s="2">
        <f>0.128560630738965*(8350/2783.333)</f>
        <v>0.38568193840634957</v>
      </c>
      <c r="M205" s="2">
        <f>0.0581529501948466*(8350/2783.333)</f>
        <v>0.17445887147781786</v>
      </c>
      <c r="N205" s="2">
        <f>0.0358536562735383*(8350/2783.333)</f>
        <v>0.10756098170216953</v>
      </c>
      <c r="O205" s="2">
        <f>0.00563377779283883*(8350/2783.333)</f>
        <v>1.6901335402628503E-2</v>
      </c>
      <c r="P205" s="2">
        <f t="shared" si="65"/>
        <v>0</v>
      </c>
      <c r="Q205" s="2">
        <f t="shared" si="65"/>
        <v>0</v>
      </c>
      <c r="R205" s="2">
        <f t="shared" si="65"/>
        <v>0</v>
      </c>
      <c r="S205" s="2">
        <f t="shared" si="65"/>
        <v>0</v>
      </c>
      <c r="T205" s="2">
        <f t="shared" si="49"/>
        <v>0.10069243236843764</v>
      </c>
      <c r="U205" s="2">
        <f t="shared" si="50"/>
        <v>0.11437794326585224</v>
      </c>
      <c r="V205" s="2">
        <f t="shared" si="51"/>
        <v>0.11043877033537902</v>
      </c>
      <c r="W205" s="2">
        <f t="shared" si="52"/>
        <v>0.10705744606724045</v>
      </c>
      <c r="X205" s="2">
        <f t="shared" si="53"/>
        <v>0.11728533803050227</v>
      </c>
      <c r="Y205" s="2">
        <f t="shared" si="54"/>
        <v>0.10928020503416074</v>
      </c>
      <c r="Z205" s="2">
        <f t="shared" si="55"/>
        <v>0.10579568013572224</v>
      </c>
      <c r="AA205" s="2">
        <f t="shared" si="56"/>
        <v>0.11798772791544039</v>
      </c>
      <c r="AB205" s="2">
        <f t="shared" si="57"/>
        <v>0.10026757173055721</v>
      </c>
      <c r="AC205" s="2">
        <f t="shared" si="58"/>
        <v>0.1151901624778385</v>
      </c>
      <c r="AD205" s="2">
        <f t="shared" si="59"/>
        <v>0.10227444344259566</v>
      </c>
      <c r="AE205" s="2">
        <f t="shared" si="60"/>
        <v>0.10987695088187602</v>
      </c>
      <c r="AF205" s="2">
        <f t="shared" si="61"/>
        <v>0.11908712371493149</v>
      </c>
      <c r="AG205" s="2">
        <f t="shared" si="62"/>
        <v>9.9235315312320327E-2</v>
      </c>
      <c r="AH205" s="2">
        <f t="shared" si="63"/>
        <v>0.1199891551819615</v>
      </c>
      <c r="AI205" s="2">
        <f t="shared" si="64"/>
        <v>0.10099811712417744</v>
      </c>
      <c r="AJ205" s="2">
        <f t="shared" si="66"/>
        <v>0</v>
      </c>
      <c r="AK205" s="2">
        <f t="shared" si="66"/>
        <v>0</v>
      </c>
      <c r="AL205" s="2">
        <f t="shared" si="66"/>
        <v>0</v>
      </c>
      <c r="AM205" s="2">
        <f t="shared" si="66"/>
        <v>0</v>
      </c>
      <c r="AN205" s="2">
        <f t="shared" si="66"/>
        <v>0</v>
      </c>
      <c r="AO205" s="2">
        <f>0.000596959023007838*(8350/2783.333)</f>
        <v>1.7908772834998345E-3</v>
      </c>
      <c r="AP205" s="2">
        <f>0.00216561162263477*(8350/2783.333)</f>
        <v>6.4968356459684561E-3</v>
      </c>
      <c r="AQ205" s="2">
        <f>0.0154149059925399*(8350/2783.333)</f>
        <v>4.6244723515909969E-2</v>
      </c>
      <c r="AR205" s="2">
        <f>0.0295645542814942*(8350/2783.333)</f>
        <v>8.8693673466479425E-2</v>
      </c>
      <c r="AS205" s="2">
        <f>0.0487173397338833*(8350/2783.333)</f>
        <v>0.14615203670488788</v>
      </c>
      <c r="AT205" s="2">
        <f>0.0731218249923988*(8350/2783.333)</f>
        <v>0.21936550124851398</v>
      </c>
      <c r="AU205" s="2">
        <f>0.0870782234312361*(8350/2783.333)</f>
        <v>0.2612347015793014</v>
      </c>
      <c r="AV205" s="2">
        <f>0.0855023318979074*(8350/2783.333)</f>
        <v>0.25650702641312667</v>
      </c>
      <c r="AW205" s="2">
        <f>0.0839341297422756*(8350/2783.333)</f>
        <v>0.25180241938280512</v>
      </c>
    </row>
    <row r="206" spans="1:49" x14ac:dyDescent="0.25">
      <c r="A206" s="5">
        <v>45828</v>
      </c>
      <c r="B206" s="2">
        <f>0.247955710915023*(8350/2783.333)</f>
        <v>0.7438672218309641</v>
      </c>
      <c r="C206" s="2">
        <f>0.267200984464197*(8350/2783.333)</f>
        <v>0.80160304939295579</v>
      </c>
      <c r="D206" s="2">
        <f>0.212819616077775*(8350/2783.333)</f>
        <v>0.63845892469547072</v>
      </c>
      <c r="E206" s="2">
        <f>0.241835574805281*(8350/2783.333)</f>
        <v>0.72550681130288475</v>
      </c>
      <c r="F206" s="2">
        <f>0.208958472333466*(8350/2783.333)</f>
        <v>0.62687549207530635</v>
      </c>
      <c r="G206" s="2">
        <f>0.217474670765487*(8350/2783.333)</f>
        <v>0.65242409043108351</v>
      </c>
      <c r="H206" s="2">
        <f>0.201026554809552*(8350/2783.333)</f>
        <v>0.60307973665377446</v>
      </c>
      <c r="I206" s="2">
        <f>0.204568356180529*(8350/2783.333)</f>
        <v>0.61370514203920967</v>
      </c>
      <c r="J206" s="2">
        <f>0.139827597207363*(8350/2783.333)</f>
        <v>0.4194828418595557</v>
      </c>
      <c r="K206" s="2">
        <f>0.210035800879954*(8350/2783.333)</f>
        <v>0.63010747810183598</v>
      </c>
      <c r="L206" s="2">
        <f>0.163509151716548*(8350/2783.333)</f>
        <v>0.49052751389545429</v>
      </c>
      <c r="M206" s="2">
        <f>0.121592532225588*(8350/2783.333)</f>
        <v>0.36477764036271015</v>
      </c>
      <c r="N206" s="2">
        <f>0.0736772936610072*(8350/2783.333)</f>
        <v>0.2210319074539088</v>
      </c>
      <c r="O206" s="2">
        <f>0.0214083556127875*(8350/2783.333)</f>
        <v>6.4225074529988282E-2</v>
      </c>
      <c r="P206" s="2">
        <f t="shared" si="65"/>
        <v>0</v>
      </c>
      <c r="Q206" s="2">
        <f t="shared" si="65"/>
        <v>0</v>
      </c>
      <c r="R206" s="2">
        <f t="shared" si="65"/>
        <v>0</v>
      </c>
      <c r="S206" s="2">
        <f t="shared" si="65"/>
        <v>0</v>
      </c>
      <c r="T206" s="2">
        <f t="shared" si="49"/>
        <v>0.10069243236843764</v>
      </c>
      <c r="U206" s="2">
        <f t="shared" si="50"/>
        <v>0.11437794326585224</v>
      </c>
      <c r="V206" s="2">
        <f t="shared" si="51"/>
        <v>0.11043877033537902</v>
      </c>
      <c r="W206" s="2">
        <f t="shared" si="52"/>
        <v>0.10705744606724045</v>
      </c>
      <c r="X206" s="2">
        <f t="shared" si="53"/>
        <v>0.11728533803050227</v>
      </c>
      <c r="Y206" s="2">
        <f t="shared" si="54"/>
        <v>0.10928020503416074</v>
      </c>
      <c r="Z206" s="2">
        <f t="shared" si="55"/>
        <v>0.10579568013572224</v>
      </c>
      <c r="AA206" s="2">
        <f t="shared" si="56"/>
        <v>0.11798772791544039</v>
      </c>
      <c r="AB206" s="2">
        <f t="shared" si="57"/>
        <v>0.10026757173055721</v>
      </c>
      <c r="AC206" s="2">
        <f t="shared" si="58"/>
        <v>0.1151901624778385</v>
      </c>
      <c r="AD206" s="2">
        <f t="shared" si="59"/>
        <v>0.10227444344259566</v>
      </c>
      <c r="AE206" s="2">
        <f t="shared" si="60"/>
        <v>0.10987695088187602</v>
      </c>
      <c r="AF206" s="2">
        <f t="shared" si="61"/>
        <v>0.11908712371493149</v>
      </c>
      <c r="AG206" s="2">
        <f t="shared" si="62"/>
        <v>9.9235315312320327E-2</v>
      </c>
      <c r="AH206" s="2">
        <f t="shared" si="63"/>
        <v>0.1199891551819615</v>
      </c>
      <c r="AI206" s="2">
        <f t="shared" si="64"/>
        <v>0.10099811712417744</v>
      </c>
      <c r="AJ206" s="2">
        <f t="shared" si="66"/>
        <v>0</v>
      </c>
      <c r="AK206" s="2">
        <f t="shared" si="66"/>
        <v>0</v>
      </c>
      <c r="AL206" s="2">
        <f t="shared" si="66"/>
        <v>0</v>
      </c>
      <c r="AM206" s="2">
        <f t="shared" si="66"/>
        <v>0</v>
      </c>
      <c r="AN206" s="2">
        <f t="shared" si="66"/>
        <v>0</v>
      </c>
      <c r="AO206" s="2">
        <f>0*(8350/2783.333)</f>
        <v>0</v>
      </c>
      <c r="AP206" s="2">
        <f>0*(8350/2783.333)</f>
        <v>0</v>
      </c>
      <c r="AQ206" s="2">
        <f>0.00271031314154548*(8350/2783.333)</f>
        <v>8.1309403984017488E-3</v>
      </c>
      <c r="AR206" s="2">
        <f>0.0321779955439467*(8350/2783.333)</f>
        <v>9.6533998192797996E-2</v>
      </c>
      <c r="AS206" s="2">
        <f>0.0524153556212738*(8350/2783.333)</f>
        <v>0.15724608569568793</v>
      </c>
      <c r="AT206" s="2">
        <f>0.0678754160243343*(8350/2783.333)</f>
        <v>0.20362627245938295</v>
      </c>
      <c r="AU206" s="2">
        <f>0.0802778288394634*(8350/2783.333)</f>
        <v>0.24083351536072739</v>
      </c>
      <c r="AV206" s="2">
        <f>0.076208600169874*(8350/2783.333)</f>
        <v>0.22862582788996078</v>
      </c>
      <c r="AW206" s="2">
        <f>0.0780276539455969*(8350/2783.333)</f>
        <v>0.23408298987068171</v>
      </c>
    </row>
    <row r="207" spans="1:49" x14ac:dyDescent="0.25">
      <c r="A207" s="5">
        <v>45829</v>
      </c>
      <c r="B207" s="2">
        <f>0.251224430267952*(8350/2783.333)</f>
        <v>0.75367338106414061</v>
      </c>
      <c r="C207" s="2">
        <f>0.260472902121573*(8350/2783.333)</f>
        <v>0.78141879994781005</v>
      </c>
      <c r="D207" s="2">
        <f>0.206560215604899*(8350/2783.333)</f>
        <v>0.61968072102795724</v>
      </c>
      <c r="E207" s="2">
        <f>0.255734171058458*(8350/2783.333)</f>
        <v>0.76720260505592419</v>
      </c>
      <c r="F207" s="2">
        <f>0.207786742582063*(8350/2783.333)</f>
        <v>0.62336030240011708</v>
      </c>
      <c r="G207" s="2">
        <f>0.222212681021816*(8350/2783.333)</f>
        <v>0.66663812290234892</v>
      </c>
      <c r="H207" s="2">
        <f>0.210099012152501*(8350/2783.333)</f>
        <v>0.63029711194218729</v>
      </c>
      <c r="I207" s="2">
        <f>0.206898291900125*(8350/2783.333)</f>
        <v>0.62069495003510045</v>
      </c>
      <c r="J207" s="2">
        <f>0.173101019772288*(8350/2783.333)</f>
        <v>0.51930312150885516</v>
      </c>
      <c r="K207" s="2">
        <f>0.213178481192373*(8350/2783.333)</f>
        <v>0.63953552016819804</v>
      </c>
      <c r="L207" s="2">
        <f>0.157268344399123*(8350/2783.333)</f>
        <v>0.47180508970097135</v>
      </c>
      <c r="M207" s="2">
        <f>0.0929566097811563*(8350/2783.333)</f>
        <v>0.27886986274105729</v>
      </c>
      <c r="N207" s="2">
        <f>0.0677673503192152*(8350/2783.333)</f>
        <v>0.20330207530519953</v>
      </c>
      <c r="O207" s="2">
        <f>0.00187792593094627*(8350/2783.333)</f>
        <v>5.6337784675428298E-3</v>
      </c>
      <c r="P207" s="2">
        <f>0.000431067953742265*(8350/2783.333)</f>
        <v>1.2932040161015264E-3</v>
      </c>
      <c r="Q207" s="2">
        <f t="shared" ref="Q207:S210" si="67">0*(8350/2783.333)</f>
        <v>0</v>
      </c>
      <c r="R207" s="2">
        <f t="shared" si="67"/>
        <v>0</v>
      </c>
      <c r="S207" s="2">
        <f t="shared" si="67"/>
        <v>0</v>
      </c>
      <c r="T207" s="2">
        <f t="shared" si="49"/>
        <v>0.10069243236843764</v>
      </c>
      <c r="U207" s="2">
        <f t="shared" si="50"/>
        <v>0.11437794326585224</v>
      </c>
      <c r="V207" s="2">
        <f t="shared" si="51"/>
        <v>0.11043877033537902</v>
      </c>
      <c r="W207" s="2">
        <f t="shared" si="52"/>
        <v>0.10705744606724045</v>
      </c>
      <c r="X207" s="2">
        <f t="shared" si="53"/>
        <v>0.11728533803050227</v>
      </c>
      <c r="Y207" s="2">
        <f t="shared" si="54"/>
        <v>0.10928020503416074</v>
      </c>
      <c r="Z207" s="2">
        <f t="shared" si="55"/>
        <v>0.10579568013572224</v>
      </c>
      <c r="AA207" s="2">
        <f t="shared" si="56"/>
        <v>0.11798772791544039</v>
      </c>
      <c r="AB207" s="2">
        <f t="shared" si="57"/>
        <v>0.10026757173055721</v>
      </c>
      <c r="AC207" s="2">
        <f t="shared" si="58"/>
        <v>0.1151901624778385</v>
      </c>
      <c r="AD207" s="2">
        <f t="shared" si="59"/>
        <v>0.10227444344259566</v>
      </c>
      <c r="AE207" s="2">
        <f t="shared" si="60"/>
        <v>0.10987695088187602</v>
      </c>
      <c r="AF207" s="2">
        <f t="shared" si="61"/>
        <v>0.11908712371493149</v>
      </c>
      <c r="AG207" s="2">
        <f t="shared" si="62"/>
        <v>9.9235315312320327E-2</v>
      </c>
      <c r="AH207" s="2">
        <f t="shared" si="63"/>
        <v>0.1199891551819615</v>
      </c>
      <c r="AI207" s="2">
        <f t="shared" si="64"/>
        <v>0.10099811712417744</v>
      </c>
      <c r="AJ207" s="2">
        <f t="shared" si="66"/>
        <v>0</v>
      </c>
      <c r="AK207" s="2">
        <f t="shared" si="66"/>
        <v>0</v>
      </c>
      <c r="AL207" s="2">
        <f t="shared" si="66"/>
        <v>0</v>
      </c>
      <c r="AM207" s="2">
        <f t="shared" si="66"/>
        <v>0</v>
      </c>
      <c r="AN207" s="2">
        <f t="shared" si="66"/>
        <v>0</v>
      </c>
      <c r="AO207" s="2">
        <f>0*(8350/2783.333)</f>
        <v>0</v>
      </c>
      <c r="AP207" s="2">
        <f>0*(8350/2783.333)</f>
        <v>0</v>
      </c>
      <c r="AQ207" s="2">
        <f>0.00525123171174436*(8350/2783.333)</f>
        <v>1.5753697021903396E-2</v>
      </c>
      <c r="AR207" s="2">
        <f>0.0377315582266583*(8350/2783.333)</f>
        <v>0.11319468823622511</v>
      </c>
      <c r="AS207" s="2">
        <f>0.0504859560278527*(8350/2783.333)</f>
        <v>0.15145788622222703</v>
      </c>
      <c r="AT207" s="2">
        <f>0.0652522115403021*(8350/2783.333)</f>
        <v>0.19575665806481743</v>
      </c>
      <c r="AU207" s="2">
        <f>0.087907539844867*(8350/2783.333)</f>
        <v>0.26372265111815191</v>
      </c>
      <c r="AV207" s="2">
        <f>0.0808554660338907*(8350/2783.333)</f>
        <v>0.24256642715154372</v>
      </c>
      <c r="AW207" s="2">
        <f>0.0861101997726308*(8350/2783.333)</f>
        <v>0.25833063025569258</v>
      </c>
    </row>
    <row r="208" spans="1:49" x14ac:dyDescent="0.25">
      <c r="A208" s="5">
        <v>45830</v>
      </c>
      <c r="B208" s="2">
        <f>0.248889630730146*(8350/2783.333)</f>
        <v>0.74666898161187178</v>
      </c>
      <c r="C208" s="2">
        <f>0.245575005505764*(8350/2783.333)</f>
        <v>0.73672510474784259</v>
      </c>
      <c r="D208" s="2">
        <f>0.200300815132023*(8350/2783.333)</f>
        <v>0.60090251736044287</v>
      </c>
      <c r="E208" s="2">
        <f>0.214038382298926*(8350/2783.333)</f>
        <v>0.64211522379680608</v>
      </c>
      <c r="F208" s="2">
        <f>0.205833859663059*(8350/2783.333)</f>
        <v>0.61750165294146953</v>
      </c>
      <c r="G208" s="2">
        <f>0.21131525743226*(8350/2783.333)</f>
        <v>0.63394584821843913</v>
      </c>
      <c r="H208" s="2">
        <f>0.210576509907393*(8350/2783.333)</f>
        <v>0.63172960537841916</v>
      </c>
      <c r="I208" s="2">
        <f>0.194316639014307*(8350/2783.333)</f>
        <v>0.58294998685729005</v>
      </c>
      <c r="J208" s="2">
        <f>0.170328234558544*(8350/2783.333)</f>
        <v>0.51098476487141342</v>
      </c>
      <c r="K208" s="2">
        <f>0.213702261244442*(8350/2783.333)</f>
        <v>0.64110686051259136</v>
      </c>
      <c r="L208" s="2">
        <f>0.126896415454319*(8350/2783.333)</f>
        <v>0.38068929195448753</v>
      </c>
      <c r="M208" s="2">
        <f>0.111459821206789*(8350/2783.333)</f>
        <v>0.33437950366581742</v>
      </c>
      <c r="N208" s="2">
        <f>0.0590994334179202*(8350/2783.333)</f>
        <v>0.17729832148709265</v>
      </c>
      <c r="O208" s="2">
        <f>0.020657185240409*(8350/2783.333)</f>
        <v>6.1971563142971149E-2</v>
      </c>
      <c r="P208" s="2">
        <f>0*(8350/2783.333)</f>
        <v>0</v>
      </c>
      <c r="Q208" s="2">
        <f t="shared" si="67"/>
        <v>0</v>
      </c>
      <c r="R208" s="2">
        <f t="shared" si="67"/>
        <v>0</v>
      </c>
      <c r="S208" s="2">
        <f t="shared" si="67"/>
        <v>0</v>
      </c>
      <c r="T208" s="2">
        <f t="shared" si="49"/>
        <v>0.10069243236843764</v>
      </c>
      <c r="U208" s="2">
        <f t="shared" si="50"/>
        <v>0.11437794326585224</v>
      </c>
      <c r="V208" s="2">
        <f t="shared" si="51"/>
        <v>0.11043877033537902</v>
      </c>
      <c r="W208" s="2">
        <f t="shared" si="52"/>
        <v>0.10705744606724045</v>
      </c>
      <c r="X208" s="2">
        <f t="shared" si="53"/>
        <v>0.11728533803050227</v>
      </c>
      <c r="Y208" s="2">
        <f t="shared" si="54"/>
        <v>0.10928020503416074</v>
      </c>
      <c r="Z208" s="2">
        <f t="shared" si="55"/>
        <v>0.10579568013572224</v>
      </c>
      <c r="AA208" s="2">
        <f t="shared" si="56"/>
        <v>0.11798772791544039</v>
      </c>
      <c r="AB208" s="2">
        <f t="shared" si="57"/>
        <v>0.10026757173055721</v>
      </c>
      <c r="AC208" s="2">
        <f t="shared" si="58"/>
        <v>0.1151901624778385</v>
      </c>
      <c r="AD208" s="2">
        <f t="shared" si="59"/>
        <v>0.10227444344259566</v>
      </c>
      <c r="AE208" s="2">
        <f t="shared" si="60"/>
        <v>0.10987695088187602</v>
      </c>
      <c r="AF208" s="2">
        <f t="shared" si="61"/>
        <v>0.11908712371493149</v>
      </c>
      <c r="AG208" s="2">
        <f t="shared" si="62"/>
        <v>9.9235315312320327E-2</v>
      </c>
      <c r="AH208" s="2">
        <f t="shared" si="63"/>
        <v>0.1199891551819615</v>
      </c>
      <c r="AI208" s="2">
        <f t="shared" si="64"/>
        <v>0.10099811712417744</v>
      </c>
      <c r="AJ208" s="2">
        <f t="shared" ref="AJ208:AL210" si="68">0*(8350/2783.333)</f>
        <v>0</v>
      </c>
      <c r="AK208" s="2">
        <f t="shared" si="68"/>
        <v>0</v>
      </c>
      <c r="AL208" s="2">
        <f t="shared" si="68"/>
        <v>0</v>
      </c>
      <c r="AM208" s="2">
        <f>0.00198295068370339*(8350/2783.333)</f>
        <v>5.9488527635476202E-3</v>
      </c>
      <c r="AN208" s="2">
        <f>0*(8350/2783.333)</f>
        <v>0</v>
      </c>
      <c r="AO208" s="2">
        <f>0*(8350/2783.333)</f>
        <v>0</v>
      </c>
      <c r="AP208" s="2">
        <f>0.00716317690563808*(8350/2783.333)</f>
        <v>2.1489533290511054E-2</v>
      </c>
      <c r="AQ208" s="2">
        <f>0.0198191648475513*(8350/2783.333)</f>
        <v>5.9457501663312783E-2</v>
      </c>
      <c r="AR208" s="2">
        <f>0.0356081372009157*(8350/2783.333)</f>
        <v>0.1068244243960912</v>
      </c>
      <c r="AS208" s="2">
        <f>0.0622231368878312*(8350/2783.333)</f>
        <v>0.18666943301911421</v>
      </c>
      <c r="AT208" s="2">
        <f>0.0727939244318948*(8350/2783.333)</f>
        <v>0.21838179944919328</v>
      </c>
      <c r="AU208" s="2">
        <f>0.0845902741903437*(8350/2783.333)</f>
        <v>0.25377085296274993</v>
      </c>
      <c r="AV208" s="2">
        <f>0.072026420892259*(8350/2783.333)</f>
        <v>0.21607928855453609</v>
      </c>
      <c r="AW208" s="2">
        <f>0.0828460947270979*(8350/2783.333)</f>
        <v>0.24853831394636131</v>
      </c>
    </row>
    <row r="209" spans="1:49" x14ac:dyDescent="0.25">
      <c r="A209" s="5">
        <v>45831</v>
      </c>
      <c r="B209" s="2">
        <f>0.255894029343564*(8350/2783.333)</f>
        <v>0.76768217996867794</v>
      </c>
      <c r="C209" s="2">
        <f>0.274890221427195*(8350/2783.333)</f>
        <v>0.82467076304455178</v>
      </c>
      <c r="D209" s="2">
        <f>0.233553880144176*(8350/2783.333)</f>
        <v>0.70066172434411078</v>
      </c>
      <c r="E209" s="2">
        <f>0.27241248656227*(8350/2783.333)</f>
        <v>0.81723755755957106</v>
      </c>
      <c r="F209" s="2">
        <f>0.229268454691111*(8350/2783.333)</f>
        <v>0.68780544644524211</v>
      </c>
      <c r="G209" s="2">
        <f>0.228372094355043*(8350/2783.333)</f>
        <v>0.68511636511499452</v>
      </c>
      <c r="H209" s="2">
        <f>0.233973899897103*(8350/2783.333)</f>
        <v>0.70192178375379954</v>
      </c>
      <c r="I209" s="2">
        <f>0.232061597671762*(8350/2783.333)</f>
        <v>0.69618487639072091</v>
      </c>
      <c r="J209" s="2">
        <f>0.180231038893343*(8350/2783.333)</f>
        <v>0.54069318143370493</v>
      </c>
      <c r="K209" s="2">
        <f>0.224177862285836*(8350/2783.333)</f>
        <v>0.67253366740046339</v>
      </c>
      <c r="L209" s="2">
        <f>0.175574712530237*(8350/2783.333)</f>
        <v>0.52672420067145509</v>
      </c>
      <c r="M209" s="2">
        <f>0.133928006509344*(8350/2783.333)</f>
        <v>0.40178406764588348</v>
      </c>
      <c r="N209" s="2">
        <f>0.0768292634432963*(8350/2783.333)</f>
        <v>0.23048781793322046</v>
      </c>
      <c r="O209" s="2">
        <f>0.00600936297902808*(8350/2783.333)</f>
        <v>1.8028091096137074E-2</v>
      </c>
      <c r="P209" s="2">
        <f>0.00258640772245359*(8350/2783.333)</f>
        <v>7.7592240966091524E-3</v>
      </c>
      <c r="Q209" s="2">
        <f t="shared" si="67"/>
        <v>0</v>
      </c>
      <c r="R209" s="2">
        <f t="shared" si="67"/>
        <v>0</v>
      </c>
      <c r="S209" s="2">
        <f t="shared" si="67"/>
        <v>0</v>
      </c>
      <c r="T209" s="2">
        <f t="shared" si="49"/>
        <v>0.10069243236843764</v>
      </c>
      <c r="U209" s="2">
        <f t="shared" si="50"/>
        <v>0.11437794326585224</v>
      </c>
      <c r="V209" s="2">
        <f t="shared" si="51"/>
        <v>0.11043877033537902</v>
      </c>
      <c r="W209" s="2">
        <f t="shared" si="52"/>
        <v>0.10705744606724045</v>
      </c>
      <c r="X209" s="2">
        <f t="shared" si="53"/>
        <v>0.11728533803050227</v>
      </c>
      <c r="Y209" s="2">
        <f t="shared" si="54"/>
        <v>0.10928020503416074</v>
      </c>
      <c r="Z209" s="2">
        <f t="shared" si="55"/>
        <v>0.10579568013572224</v>
      </c>
      <c r="AA209" s="2">
        <f t="shared" si="56"/>
        <v>0.11798772791544039</v>
      </c>
      <c r="AB209" s="2">
        <f t="shared" si="57"/>
        <v>0.10026757173055721</v>
      </c>
      <c r="AC209" s="2">
        <f t="shared" si="58"/>
        <v>0.1151901624778385</v>
      </c>
      <c r="AD209" s="2">
        <f t="shared" si="59"/>
        <v>0.10227444344259566</v>
      </c>
      <c r="AE209" s="2">
        <f t="shared" si="60"/>
        <v>0.10987695088187602</v>
      </c>
      <c r="AF209" s="2">
        <f t="shared" si="61"/>
        <v>0.11908712371493149</v>
      </c>
      <c r="AG209" s="2">
        <f t="shared" si="62"/>
        <v>9.9235315312320327E-2</v>
      </c>
      <c r="AH209" s="2">
        <f t="shared" si="63"/>
        <v>0.1199891551819615</v>
      </c>
      <c r="AI209" s="2">
        <f t="shared" si="64"/>
        <v>0.10099811712417744</v>
      </c>
      <c r="AJ209" s="2">
        <f t="shared" si="68"/>
        <v>0</v>
      </c>
      <c r="AK209" s="2">
        <f t="shared" si="68"/>
        <v>0</v>
      </c>
      <c r="AL209" s="2">
        <f t="shared" si="68"/>
        <v>0</v>
      </c>
      <c r="AM209" s="2">
        <f>0*(8350/2783.333)</f>
        <v>0</v>
      </c>
      <c r="AN209" s="2">
        <f>0.0149066393900184*(8350/2783.333)</f>
        <v>4.4719923525734666E-2</v>
      </c>
      <c r="AO209" s="2">
        <f>0.0177595309344832*(8350/2783.333)</f>
        <v>5.3278599184120069E-2</v>
      </c>
      <c r="AP209" s="2">
        <f>0.0419795483772278*(8350/2783.333)</f>
        <v>0.12593866021415778</v>
      </c>
      <c r="AQ209" s="2">
        <f>0.0699599579661427*(8350/2783.333)</f>
        <v>0.20987989903374521</v>
      </c>
      <c r="AR209" s="2">
        <f>0.0661527319558295*(8350/2783.333)</f>
        <v>0.19845821963494004</v>
      </c>
      <c r="AS209" s="2">
        <f>0.0733171845500026*(8350/2783.333)</f>
        <v>0.21995157999151441</v>
      </c>
      <c r="AT209" s="2">
        <f>0.0739415763936589*(8350/2783.333)</f>
        <v>0.22182475574681573</v>
      </c>
      <c r="AU209" s="2">
        <f>0.0930493016093781*(8350/2783.333)</f>
        <v>0.27914793825902501</v>
      </c>
      <c r="AV209" s="2">
        <f>0.0882904514163175*(8350/2783.333)</f>
        <v>0.26487138597007642</v>
      </c>
      <c r="AW209" s="2">
        <f>0.0867319340670181*(8350/2783.333)</f>
        <v>0.26019583336223195</v>
      </c>
    </row>
    <row r="210" spans="1:49" x14ac:dyDescent="0.25">
      <c r="A210" s="5">
        <v>45832</v>
      </c>
      <c r="B210" s="2">
        <f>0.268968906755279*(8350/2783.333)</f>
        <v>0.80690681690138444</v>
      </c>
      <c r="C210" s="2">
        <f>0.273448489496633*(8350/2783.333)</f>
        <v>0.82034556673487802</v>
      </c>
      <c r="D210" s="2">
        <f>0.197171114895585*(8350/2783.333)</f>
        <v>0.59151341552668613</v>
      </c>
      <c r="E210" s="2">
        <f>0.251564592182504*(8350/2783.333)</f>
        <v>0.75469386693001217</v>
      </c>
      <c r="F210" s="2">
        <f>0.217941733760886*(8350/2783.333)</f>
        <v>0.65382527958508574</v>
      </c>
      <c r="G210" s="2">
        <f>0.235952910765169*(8350/2783.333)</f>
        <v>0.70785881706901921</v>
      </c>
      <c r="H210" s="2">
        <f>0.220126465005234*(8350/2783.333)</f>
        <v>0.66037947410306452</v>
      </c>
      <c r="I210" s="2">
        <f>0.213422111914994*(8350/2783.333)</f>
        <v>0.64026641242359483</v>
      </c>
      <c r="J210" s="2">
        <f>0.184984384974047*(8350/2783.333)</f>
        <v>0.55495322138360492</v>
      </c>
      <c r="K210" s="2">
        <f>0.222082742077557*(8350/2783.333)</f>
        <v>0.66624830602288876</v>
      </c>
      <c r="L210" s="2">
        <f>0.246719915948888*(8350/2783.333)</f>
        <v>0.74015983648856087</v>
      </c>
      <c r="M210" s="2">
        <f>0.23393345873836*(8350/2783.333)</f>
        <v>0.70180046026303988</v>
      </c>
      <c r="N210" s="2">
        <f>0.122138829063702*(8350/2783.333)</f>
        <v>0.36641653107332495</v>
      </c>
      <c r="O210" s="2">
        <f>0.0341782519432222*(8350/2783.333)</f>
        <v>0.10253476810927951</v>
      </c>
      <c r="P210" s="2">
        <f>0.000862135907484529*(8350/2783.333)</f>
        <v>2.5864080322030528E-3</v>
      </c>
      <c r="Q210" s="2">
        <f t="shared" si="67"/>
        <v>0</v>
      </c>
      <c r="R210" s="2">
        <f t="shared" si="67"/>
        <v>0</v>
      </c>
      <c r="S210" s="2">
        <f t="shared" si="67"/>
        <v>0</v>
      </c>
      <c r="T210" s="2">
        <f t="shared" si="49"/>
        <v>0.10069243236843764</v>
      </c>
      <c r="U210" s="2">
        <f t="shared" si="50"/>
        <v>0.11437794326585224</v>
      </c>
      <c r="V210" s="2">
        <f t="shared" si="51"/>
        <v>0.11043877033537902</v>
      </c>
      <c r="W210" s="2">
        <f t="shared" si="52"/>
        <v>0.10705744606724045</v>
      </c>
      <c r="X210" s="2">
        <f t="shared" si="53"/>
        <v>0.11728533803050227</v>
      </c>
      <c r="Y210" s="2">
        <f t="shared" si="54"/>
        <v>0.10928020503416074</v>
      </c>
      <c r="Z210" s="2">
        <f t="shared" si="55"/>
        <v>0.10579568013572224</v>
      </c>
      <c r="AA210" s="2">
        <f t="shared" si="56"/>
        <v>0.11798772791544039</v>
      </c>
      <c r="AB210" s="2">
        <f t="shared" si="57"/>
        <v>0.10026757173055721</v>
      </c>
      <c r="AC210" s="2">
        <f t="shared" si="58"/>
        <v>0.1151901624778385</v>
      </c>
      <c r="AD210" s="2">
        <f t="shared" si="59"/>
        <v>0.10227444344259566</v>
      </c>
      <c r="AE210" s="2">
        <f t="shared" si="60"/>
        <v>0.10987695088187602</v>
      </c>
      <c r="AF210" s="2">
        <f t="shared" si="61"/>
        <v>0.11908712371493149</v>
      </c>
      <c r="AG210" s="2">
        <f t="shared" si="62"/>
        <v>9.9235315312320327E-2</v>
      </c>
      <c r="AH210" s="2">
        <f t="shared" si="63"/>
        <v>0.1199891551819615</v>
      </c>
      <c r="AI210" s="2">
        <f t="shared" si="64"/>
        <v>0.10099811712417744</v>
      </c>
      <c r="AJ210" s="2">
        <f t="shared" si="68"/>
        <v>0</v>
      </c>
      <c r="AK210" s="2">
        <f t="shared" si="68"/>
        <v>0</v>
      </c>
      <c r="AL210" s="2">
        <f t="shared" si="68"/>
        <v>0</v>
      </c>
      <c r="AM210" s="2">
        <f>0*(8350/2783.333)</f>
        <v>0</v>
      </c>
      <c r="AN210" s="2">
        <f>0*(8350/2783.333)</f>
        <v>0</v>
      </c>
      <c r="AO210" s="2">
        <f>0*(8350/2783.333)</f>
        <v>0</v>
      </c>
      <c r="AP210" s="2">
        <f>0*(8350/2783.333)</f>
        <v>0</v>
      </c>
      <c r="AQ210" s="2">
        <f>0.0238846345598695*(8350/2783.333)</f>
        <v>7.1653912260915484E-2</v>
      </c>
      <c r="AR210" s="2">
        <f>0.0393649590156911*(8350/2783.333)</f>
        <v>0.11809489119017419</v>
      </c>
      <c r="AS210" s="2">
        <f>0.0458232403437516*(8350/2783.333)</f>
        <v>0.13746973749469651</v>
      </c>
      <c r="AT210" s="2">
        <f>0.0685312171453424*(8350/2783.333)</f>
        <v>0.20559367605802431</v>
      </c>
      <c r="AU210" s="2">
        <f>0.0922199851957472*(8350/2783.333)</f>
        <v>0.27665998872017444</v>
      </c>
      <c r="AV210" s="2">
        <f>0.0886002424739186*(8350/2783.333)</f>
        <v>0.26580075925418201</v>
      </c>
      <c r="AW210" s="2">
        <f>0.0861101997726308*(8350/2783.333)</f>
        <v>0.25833063025569258</v>
      </c>
    </row>
    <row r="211" spans="1:49" x14ac:dyDescent="0.25">
      <c r="A211" s="5">
        <v>45833</v>
      </c>
      <c r="B211" s="2">
        <f>0.27317154592333*(8350/2783.333)</f>
        <v>0.81951473591546875</v>
      </c>
      <c r="C211" s="2">
        <f>0.281618303769819*(8350/2783.333)</f>
        <v>0.84485501248969863</v>
      </c>
      <c r="D211" s="2">
        <f>0.223382354375752*(8350/2783.333)</f>
        <v>0.6701471433844004</v>
      </c>
      <c r="E211" s="2">
        <f>0.275655492354678*(8350/2783.333)</f>
        <v>0.82696657610194635</v>
      </c>
      <c r="F211" s="2">
        <f>0.220285193263691*(8350/2783.333)</f>
        <v>0.66085565893546294</v>
      </c>
      <c r="G211" s="2">
        <f>0.237374313842068*(8350/2783.333)</f>
        <v>0.71212302681039852</v>
      </c>
      <c r="H211" s="2">
        <f>0.22155895826991*(8350/2783.333)</f>
        <v>0.66467695441176133</v>
      </c>
      <c r="I211" s="2">
        <f>0.216218034778509*(8350/2783.333)</f>
        <v>0.64865418201866343</v>
      </c>
      <c r="J211" s="2">
        <f>0.187361058014399*(8350/2783.333)</f>
        <v>0.5620832413585547</v>
      </c>
      <c r="K211" s="2">
        <f>0.232034563066882*(8350/2783.333)</f>
        <v>0.69610377256636757</v>
      </c>
      <c r="L211" s="2">
        <f>0.17141417431862*(8350/2783.333)</f>
        <v>0.5142425845417995</v>
      </c>
      <c r="M211" s="2">
        <f>0.099124346923034*(8350/2783.333)</f>
        <v>0.29737307638264399</v>
      </c>
      <c r="N211" s="2">
        <f>0.0307317053773185*(8350/2783.333)</f>
        <v>9.2195127173288177E-2</v>
      </c>
      <c r="O211" s="2">
        <f>0.0274177185918156*(8350/2783.333)</f>
        <v>8.2253165626125377E-2</v>
      </c>
      <c r="P211" s="2">
        <f>0.00948349498232982*(8350/2783.333)</f>
        <v>2.8450488354233576E-2</v>
      </c>
      <c r="Q211" s="2">
        <f>0*(8350/2783.333)</f>
        <v>0</v>
      </c>
      <c r="R211" s="2">
        <f>0.00260527889351878*(8350/2783.333)</f>
        <v>7.8158376165848083E-3</v>
      </c>
      <c r="S211" s="2">
        <f>0*(8350/2783.333)</f>
        <v>0</v>
      </c>
      <c r="T211" s="2">
        <f t="shared" si="49"/>
        <v>0.10069243236843764</v>
      </c>
      <c r="U211" s="2">
        <f t="shared" si="50"/>
        <v>0.11437794326585224</v>
      </c>
      <c r="V211" s="2">
        <f t="shared" si="51"/>
        <v>0.11043877033537902</v>
      </c>
      <c r="W211" s="2">
        <f t="shared" si="52"/>
        <v>0.10705744606724045</v>
      </c>
      <c r="X211" s="2">
        <f t="shared" si="53"/>
        <v>0.11728533803050227</v>
      </c>
      <c r="Y211" s="2">
        <f t="shared" si="54"/>
        <v>0.10928020503416074</v>
      </c>
      <c r="Z211" s="2">
        <f t="shared" si="55"/>
        <v>0.10579568013572224</v>
      </c>
      <c r="AA211" s="2">
        <f t="shared" si="56"/>
        <v>0.11798772791544039</v>
      </c>
      <c r="AB211" s="2">
        <f t="shared" si="57"/>
        <v>0.10026757173055721</v>
      </c>
      <c r="AC211" s="2">
        <f t="shared" si="58"/>
        <v>0.1151901624778385</v>
      </c>
      <c r="AD211" s="2">
        <f t="shared" si="59"/>
        <v>0.10227444344259566</v>
      </c>
      <c r="AE211" s="2">
        <f t="shared" si="60"/>
        <v>0.10987695088187602</v>
      </c>
      <c r="AF211" s="2">
        <f t="shared" si="61"/>
        <v>0.11908712371493149</v>
      </c>
      <c r="AG211" s="2">
        <f t="shared" si="62"/>
        <v>9.9235315312320327E-2</v>
      </c>
      <c r="AH211" s="2">
        <f t="shared" si="63"/>
        <v>0.1199891551819615</v>
      </c>
      <c r="AI211" s="2">
        <f t="shared" si="64"/>
        <v>0.10099811712417744</v>
      </c>
      <c r="AJ211" s="2">
        <f>0.0841388697713461*(8350/2783.333)</f>
        <v>0.25241663954357585</v>
      </c>
      <c r="AK211" s="2">
        <f>0.0176867597983891*(8350/2783.333)</f>
        <v>5.3060285749692654E-2</v>
      </c>
      <c r="AL211" s="2">
        <f>0.0888163378530813*(8350/2783.333)</f>
        <v>0.26644904546930925</v>
      </c>
      <c r="AM211" s="2">
        <f>0.28058752174403*(8350/2783.333)</f>
        <v>0.84176266604198868</v>
      </c>
      <c r="AN211" s="2">
        <f>0.129501429700785*(8350/2783.333)</f>
        <v>0.38850433562981973</v>
      </c>
      <c r="AO211" s="2">
        <f>0.0755153164104915*(8350/2783.333)</f>
        <v>0.22654597636272908</v>
      </c>
      <c r="AP211" s="2">
        <f>0.0163253799244775*(8350/2783.333)</f>
        <v>4.8976145638839126E-2</v>
      </c>
      <c r="AQ211" s="2">
        <f>0.0401465134091424*(8350/2783.333)</f>
        <v>0.12043955465132597</v>
      </c>
      <c r="AR211" s="2">
        <f>0.0715429545596379*(8350/2783.333)</f>
        <v>0.21462888938297223</v>
      </c>
      <c r="AS211" s="2">
        <f>0.0824818326187529*(8350/2783.333)</f>
        <v>0.24744552749045365</v>
      </c>
      <c r="AT211" s="2">
        <f>0.0777124328394552*(8350/2783.333)</f>
        <v>0.23313732643900362</v>
      </c>
      <c r="AU211" s="2">
        <f>0.0988545165047938*(8350/2783.333)</f>
        <v>0.2965635850309784</v>
      </c>
      <c r="AV211" s="2">
        <f>0.0903040932907247*(8350/2783.333)</f>
        <v>0.27091231231676238</v>
      </c>
      <c r="AW211" s="2">
        <f>0.0901514726861478*(8350/2783.333)</f>
        <v>0.27045445044819805</v>
      </c>
    </row>
    <row r="212" spans="1:49" x14ac:dyDescent="0.25">
      <c r="A212" s="5">
        <v>45834</v>
      </c>
      <c r="B212" s="2">
        <f>0.252625309990635*(8350/2783.333)</f>
        <v>0.75787602073550175</v>
      </c>
      <c r="C212" s="2">
        <f>0.242210964334452*(8350/2783.333)</f>
        <v>0.72663298002526955</v>
      </c>
      <c r="D212" s="2">
        <f>0.223773566905307*(8350/2783.333)</f>
        <v>0.67132078111362026</v>
      </c>
      <c r="E212" s="2">
        <f>0.258977176850866*(8350/2783.333)</f>
        <v>0.77693162359829993</v>
      </c>
      <c r="F212" s="2">
        <f>0.223019229350297*(8350/2783.333)</f>
        <v>0.66905776817756946</v>
      </c>
      <c r="G212" s="2">
        <f>0.261538166149344*(8350/2783.333)</f>
        <v>0.78461459241385223</v>
      </c>
      <c r="H212" s="2">
        <f>0.225856438063939*(8350/2783.333)</f>
        <v>0.67756939533785143</v>
      </c>
      <c r="I212" s="2">
        <f>0.232993571959601*(8350/2783.333)</f>
        <v>0.69898079958907744</v>
      </c>
      <c r="J212" s="2">
        <f>0.185776609320831*(8350/2783.333)</f>
        <v>0.55732989470858818</v>
      </c>
      <c r="K212" s="2">
        <f>0.258223565670368*(8350/2783.333)</f>
        <v>0.77467078978604764</v>
      </c>
      <c r="L212" s="2">
        <f>0.322857765221479*(8350/2783.333)</f>
        <v>0.96857341166125399</v>
      </c>
      <c r="M212" s="2">
        <f>0.358609859534887*(8350/2783.333)</f>
        <v>1.075829707446543</v>
      </c>
      <c r="N212" s="2">
        <f>0.483827361581374*(8350/2783.333)</f>
        <v>1.4514822585743317</v>
      </c>
      <c r="O212" s="2">
        <f>0.299716978579026*(8350/2783.333)</f>
        <v>0.89915104341983643</v>
      </c>
      <c r="P212" s="2">
        <f>0.389254362229265*(8350/2783.333)</f>
        <v>1.167763226539678</v>
      </c>
      <c r="Q212" s="2">
        <f>0.0688623953483226*(8350/2783.333)</f>
        <v>0.20658721078595108</v>
      </c>
      <c r="R212" s="2">
        <f>0.0245640581388914*(8350/2783.333)</f>
        <v>7.3692183242085374E-2</v>
      </c>
      <c r="S212" s="2">
        <f>0.0154081644181539*(8350/2783.333)</f>
        <v>4.6224498790329881E-2</v>
      </c>
      <c r="T212" s="2">
        <f t="shared" si="49"/>
        <v>0.10069243236843764</v>
      </c>
      <c r="U212" s="2">
        <f t="shared" si="50"/>
        <v>0.11437794326585224</v>
      </c>
      <c r="V212" s="2">
        <f t="shared" si="51"/>
        <v>0.11043877033537902</v>
      </c>
      <c r="W212" s="2">
        <f t="shared" si="52"/>
        <v>0.10705744606724045</v>
      </c>
      <c r="X212" s="2">
        <f t="shared" si="53"/>
        <v>0.11728533803050227</v>
      </c>
      <c r="Y212" s="2">
        <f t="shared" si="54"/>
        <v>0.10928020503416074</v>
      </c>
      <c r="Z212" s="2">
        <f t="shared" si="55"/>
        <v>0.10579568013572224</v>
      </c>
      <c r="AA212" s="2">
        <f t="shared" si="56"/>
        <v>0.11798772791544039</v>
      </c>
      <c r="AB212" s="2">
        <f t="shared" si="57"/>
        <v>0.10026757173055721</v>
      </c>
      <c r="AC212" s="2">
        <f t="shared" si="58"/>
        <v>0.1151901624778385</v>
      </c>
      <c r="AD212" s="2">
        <f t="shared" si="59"/>
        <v>0.10227444344259566</v>
      </c>
      <c r="AE212" s="2">
        <f t="shared" si="60"/>
        <v>0.10987695088187602</v>
      </c>
      <c r="AF212" s="2">
        <f t="shared" si="61"/>
        <v>0.11908712371493149</v>
      </c>
      <c r="AG212" s="2">
        <f t="shared" si="62"/>
        <v>9.9235315312320327E-2</v>
      </c>
      <c r="AH212" s="2">
        <f t="shared" si="63"/>
        <v>0.1199891551819615</v>
      </c>
      <c r="AI212" s="2">
        <f t="shared" si="64"/>
        <v>0.10099811712417744</v>
      </c>
      <c r="AJ212" s="2">
        <f>0.043509649773651*(8350/2783.333)</f>
        <v>0.13052896495316446</v>
      </c>
      <c r="AK212" s="2">
        <f>0.379815672280662*(8350/2783.333)</f>
        <v>1.1394471533027217</v>
      </c>
      <c r="AL212" s="2">
        <f>0.144578051586084*(8350/2783.333)</f>
        <v>0.43373420670246776</v>
      </c>
      <c r="AM212" s="2">
        <f>0.250512769707862*(8350/2783.333)</f>
        <v>0.75153839912818354</v>
      </c>
      <c r="AN212" s="2">
        <f>0.3984420486957*(8350/2783.333)</f>
        <v>1.1953262892399497</v>
      </c>
      <c r="AO212" s="2">
        <f>0.0705904044706768*(8350/2783.333)</f>
        <v>0.21177123877385542</v>
      </c>
      <c r="AP212" s="2">
        <f>0.126771572678851*(8350/2783.333)</f>
        <v>0.38031476358323069</v>
      </c>
      <c r="AQ212" s="2">
        <f>0.10637979080566*(8350/2783.333)</f>
        <v>0.31913941063726869</v>
      </c>
      <c r="AR212" s="2">
        <f>0.22736938983337*(8350/2783.333)</f>
        <v>0.68210825118972029</v>
      </c>
      <c r="AS212" s="2">
        <f>0.108207160531035*(8350/2783.333)</f>
        <v>0.32462152046993231</v>
      </c>
      <c r="AT212" s="2">
        <f>0.193461330697378*(8350/2783.333)</f>
        <v>0.58038406159920752</v>
      </c>
      <c r="AU212" s="2">
        <f>0.127051274568242*(8350/2783.333)</f>
        <v>0.38115386935189505</v>
      </c>
      <c r="AV212" s="2">
        <f>0.12515558727085*(8350/2783.333)</f>
        <v>0.37546680677863464</v>
      </c>
      <c r="AW212" s="2">
        <f>0.108492634370571*(8350/2783.333)</f>
        <v>0.32547794209110725</v>
      </c>
    </row>
    <row r="213" spans="1:49" x14ac:dyDescent="0.25">
      <c r="A213" s="5">
        <v>45835</v>
      </c>
      <c r="B213" s="2">
        <f>0.283911623797239*(8350/2783.333)</f>
        <v>0.85173497339590576</v>
      </c>
      <c r="C213" s="2">
        <f>0.284982344941131*(8350/2783.333)</f>
        <v>0.854947137212271</v>
      </c>
      <c r="D213" s="2">
        <f>0.239813280617051*(8350/2783.333)</f>
        <v>0.71943992801162426</v>
      </c>
      <c r="E213" s="2">
        <f>0.273339059645815*(8350/2783.333)</f>
        <v>0.82001727714310724</v>
      </c>
      <c r="F213" s="2">
        <f>0.219113463512288*(8350/2783.333)</f>
        <v>0.65734046926027401</v>
      </c>
      <c r="G213" s="2">
        <f>0.21794847179112*(8350/2783.333)</f>
        <v>0.65384549367821043</v>
      </c>
      <c r="H213" s="2">
        <f>0.233496402142212*(8350/2783.333)</f>
        <v>0.70048929031756746</v>
      </c>
      <c r="I213" s="2">
        <f>0.223673829081217*(8350/2783.333)</f>
        <v>0.67102156760551424</v>
      </c>
      <c r="J213" s="2">
        <f>0.192906628441886*(8350/2783.333)</f>
        <v>0.5787199546334385</v>
      </c>
      <c r="K213" s="2">
        <f>0.248271744681043*(8350/2783.333)</f>
        <v>0.74481532324256949</v>
      </c>
      <c r="L213" s="2">
        <f>0.184311842774633*(8350/2783.333)</f>
        <v>0.55293559454373131</v>
      </c>
      <c r="M213" s="2">
        <f>0.308386857093883*(8350/2783.333)</f>
        <v>0.92516068207933666</v>
      </c>
      <c r="N213" s="2">
        <f>0.43733580729261*(8350/2783.333)</f>
        <v>1.3120075790044858</v>
      </c>
      <c r="O213" s="2">
        <f>0.244505956209205*(8350/2783.333)</f>
        <v>0.73351795647407714</v>
      </c>
      <c r="P213" s="2">
        <f>0.704796104368603*(8350/2783.333)</f>
        <v>2.1143885663259949</v>
      </c>
      <c r="Q213" s="2">
        <f>0.647117852177388*(8350/2783.333)</f>
        <v>1.9413537890296229</v>
      </c>
      <c r="R213" s="2">
        <f>0.142918156444459*(8350/2783.333)</f>
        <v>0.42875452068122377</v>
      </c>
      <c r="S213" s="2">
        <f>0.0542367387519018*(8350/2783.333)</f>
        <v>0.16271023574196128</v>
      </c>
      <c r="T213" s="2">
        <f t="shared" si="49"/>
        <v>0.10069243236843764</v>
      </c>
      <c r="U213" s="2">
        <f t="shared" si="50"/>
        <v>0.11437794326585224</v>
      </c>
      <c r="V213" s="2">
        <f t="shared" si="51"/>
        <v>0.11043877033537902</v>
      </c>
      <c r="W213" s="2">
        <f t="shared" si="52"/>
        <v>0.10705744606724045</v>
      </c>
      <c r="X213" s="2">
        <f t="shared" si="53"/>
        <v>0.11728533803050227</v>
      </c>
      <c r="Y213" s="2">
        <f t="shared" si="54"/>
        <v>0.10928020503416074</v>
      </c>
      <c r="Z213" s="2">
        <f t="shared" si="55"/>
        <v>0.10579568013572224</v>
      </c>
      <c r="AA213" s="2">
        <f t="shared" si="56"/>
        <v>0.11798772791544039</v>
      </c>
      <c r="AB213" s="2">
        <f t="shared" si="57"/>
        <v>0.10026757173055721</v>
      </c>
      <c r="AC213" s="2">
        <f t="shared" si="58"/>
        <v>0.1151901624778385</v>
      </c>
      <c r="AD213" s="2">
        <f t="shared" si="59"/>
        <v>0.10227444344259566</v>
      </c>
      <c r="AE213" s="2">
        <f t="shared" si="60"/>
        <v>0.10987695088187602</v>
      </c>
      <c r="AF213" s="2">
        <f t="shared" si="61"/>
        <v>0.11908712371493149</v>
      </c>
      <c r="AG213" s="2">
        <f t="shared" si="62"/>
        <v>9.9235315312320327E-2</v>
      </c>
      <c r="AH213" s="2">
        <f t="shared" si="63"/>
        <v>0.1199891551819615</v>
      </c>
      <c r="AI213" s="2">
        <f t="shared" si="64"/>
        <v>0.10099811712417744</v>
      </c>
      <c r="AJ213" s="2">
        <f>0.0168277739542692*(8350/2783.333)</f>
        <v>5.048332790871516E-2</v>
      </c>
      <c r="AK213" s="2">
        <f>0.0122907991819314*(8350/2783.333)</f>
        <v>3.6872401961650814E-2</v>
      </c>
      <c r="AL213" s="2">
        <f>0.245179081516758*(8350/2783.333)</f>
        <v>0.73553733263857879</v>
      </c>
      <c r="AM213" s="2">
        <f>0.119968516364055*(8350/2783.333)</f>
        <v>0.35990559219463114</v>
      </c>
      <c r="AN213" s="2">
        <f>0.106520360641173*(8350/2783.333)</f>
        <v>0.31956112019431243</v>
      </c>
      <c r="AO213" s="2">
        <f>0.051636955490178*(8350/2783.333)</f>
        <v>0.15491088502273573</v>
      </c>
      <c r="AP213" s="2">
        <f>0.0902893461129266*(8350/2783.333)</f>
        <v>0.27086807077806963</v>
      </c>
      <c r="AQ213" s="2">
        <f>0.0931670142406258*(8350/2783.333)</f>
        <v>0.27950107619506021</v>
      </c>
      <c r="AR213" s="2">
        <f>0.33386712127831*(8350/2783.333)</f>
        <v>1.0016014837872038</v>
      </c>
      <c r="AS213" s="2">
        <f>0.201622257512507*(8350/2783.333)</f>
        <v>0.60486684497666443</v>
      </c>
      <c r="AT213" s="2">
        <f>0.155752766239415*(8350/2783.333)</f>
        <v>0.4672583546773279</v>
      </c>
      <c r="AU213" s="2">
        <f>0.164204649898902*(8350/2783.333)</f>
        <v>0.49261400869239685</v>
      </c>
      <c r="AV213" s="2">
        <f>0.124845796213249*(8350/2783.333)</f>
        <v>0.37453743349452917</v>
      </c>
      <c r="AW213" s="2">
        <f>0.119217550948751*(8350/2783.333)</f>
        <v>0.35765269567891023</v>
      </c>
    </row>
    <row r="214" spans="1:49" x14ac:dyDescent="0.25">
      <c r="A214" s="5">
        <v>45836</v>
      </c>
      <c r="B214" s="2">
        <f>0.361426968452406*(8350/2783.333)</f>
        <v>1.0842810352112351</v>
      </c>
      <c r="C214" s="2">
        <f>0.364277601122053*(8350/2783.333)</f>
        <v>1.0928329342443541</v>
      </c>
      <c r="D214" s="2">
        <f>0.239422068087497*(8350/2783.333)</f>
        <v>0.71826629028240507</v>
      </c>
      <c r="E214" s="2">
        <f>0.29233380785849*(8350/2783.333)</f>
        <v>0.87700152860559399</v>
      </c>
      <c r="F214" s="2">
        <f>0.239032869286132*(8350/2783.333)</f>
        <v>0.71709869373848056</v>
      </c>
      <c r="G214" s="2">
        <f>0.251588344611054*(8350/2783.333)</f>
        <v>0.75476512422419451</v>
      </c>
      <c r="H214" s="2">
        <f>0.244001352749836*(8350/2783.333)</f>
        <v>0.73200414591467633</v>
      </c>
      <c r="I214" s="2">
        <f>0.245575224845419*(8350/2783.333)</f>
        <v>0.73672576276688728</v>
      </c>
      <c r="J214" s="2">
        <f>0.187757170187791*(8350/2783.333)</f>
        <v>0.56327157802104699</v>
      </c>
      <c r="K214" s="2">
        <f>0.237272363587579*(8350/2783.333)</f>
        <v>0.71181717601030359</v>
      </c>
      <c r="L214" s="2">
        <f>0.190552650092059*(8350/2783.333)</f>
        <v>0.57165801873821431</v>
      </c>
      <c r="M214" s="2">
        <f>0.328652279131481*(8350/2783.333)</f>
        <v>0.98595695547312145</v>
      </c>
      <c r="N214" s="2">
        <f>0.238761711008398*(8350/2783.333)</f>
        <v>0.71628521880785401</v>
      </c>
      <c r="O214" s="2">
        <f>0.203191585728387*(8350/2783.333)</f>
        <v>0.6095748301881343</v>
      </c>
      <c r="P214" s="2">
        <f>0.615133969990212*(8350/2783.333)</f>
        <v>1.8454021309768778</v>
      </c>
      <c r="Q214" s="2">
        <f>0.396666263616023*(8350/2783.333)</f>
        <v>1.18999893336291</v>
      </c>
      <c r="R214" s="2">
        <f>0.103094607643529*(8350/2783.333)</f>
        <v>0.30928385997057023</v>
      </c>
      <c r="S214" s="2">
        <f>0.0585510247889849*(8350/2783.333)</f>
        <v>0.17565309540325366</v>
      </c>
      <c r="T214" s="2">
        <f t="shared" si="49"/>
        <v>0.10069243236843764</v>
      </c>
      <c r="U214" s="2">
        <f t="shared" si="50"/>
        <v>0.11437794326585224</v>
      </c>
      <c r="V214" s="2">
        <f t="shared" si="51"/>
        <v>0.11043877033537902</v>
      </c>
      <c r="W214" s="2">
        <f t="shared" si="52"/>
        <v>0.10705744606724045</v>
      </c>
      <c r="X214" s="2">
        <f t="shared" si="53"/>
        <v>0.11728533803050227</v>
      </c>
      <c r="Y214" s="2">
        <f t="shared" si="54"/>
        <v>0.10928020503416074</v>
      </c>
      <c r="Z214" s="2">
        <f t="shared" si="55"/>
        <v>0.10579568013572224</v>
      </c>
      <c r="AA214" s="2">
        <f t="shared" si="56"/>
        <v>0.11798772791544039</v>
      </c>
      <c r="AB214" s="2">
        <f t="shared" si="57"/>
        <v>0.10026757173055721</v>
      </c>
      <c r="AC214" s="2">
        <f t="shared" si="58"/>
        <v>0.1151901624778385</v>
      </c>
      <c r="AD214" s="2">
        <f t="shared" si="59"/>
        <v>0.10227444344259566</v>
      </c>
      <c r="AE214" s="2">
        <f t="shared" si="60"/>
        <v>0.10987695088187602</v>
      </c>
      <c r="AF214" s="2">
        <f t="shared" si="61"/>
        <v>0.11908712371493149</v>
      </c>
      <c r="AG214" s="2">
        <f t="shared" si="62"/>
        <v>9.9235315312320327E-2</v>
      </c>
      <c r="AH214" s="2">
        <f t="shared" si="63"/>
        <v>0.1199891551819615</v>
      </c>
      <c r="AI214" s="2">
        <f t="shared" si="64"/>
        <v>0.10099811712417744</v>
      </c>
      <c r="AJ214" s="2">
        <f>0*(8350/2783.333)</f>
        <v>0</v>
      </c>
      <c r="AK214" s="2">
        <f>0*(8350/2783.333)</f>
        <v>0</v>
      </c>
      <c r="AL214" s="2">
        <f>0.138254558276156*(8350/2783.333)</f>
        <v>0.41476372450076948</v>
      </c>
      <c r="AM214" s="2">
        <f>0.301408503922915*(8350/2783.333)</f>
        <v>0.90422562005923901</v>
      </c>
      <c r="AN214" s="2">
        <f>0.0270182838944084*(8350/2783.333)</f>
        <v>8.1054861390394112E-2</v>
      </c>
      <c r="AO214" s="2">
        <f>0.00388023364955095*(8350/2783.333)</f>
        <v>1.1640702342748924E-2</v>
      </c>
      <c r="AP214" s="2">
        <f>0.0273200235470848*(8350/2783.333)</f>
        <v>8.1960080456832868E-2</v>
      </c>
      <c r="AQ214" s="2">
        <f>0.022021294275057*(8350/2783.333)</f>
        <v>6.6063890737014228E-2</v>
      </c>
      <c r="AR214" s="2">
        <f>0.153376334090183*(8350/2783.333)</f>
        <v>0.4601290573758241</v>
      </c>
      <c r="AS214" s="2">
        <f>0.180238078685423*(8350/2783.333)</f>
        <v>0.54071430081247263</v>
      </c>
      <c r="AT214" s="2">
        <f>0.156736467920927*(8350/2783.333)</f>
        <v>0.47020946007529002</v>
      </c>
      <c r="AU214" s="2">
        <f>0.152594220108071*(8350/2783.333)</f>
        <v>0.45778271514848995</v>
      </c>
      <c r="AV214" s="2">
        <f>0.1112149896788*(8350/2783.333)</f>
        <v>0.33364500899388549</v>
      </c>
      <c r="AW214" s="2">
        <f>0.110824137974523*(8350/2783.333)</f>
        <v>0.33247245374062961</v>
      </c>
    </row>
    <row r="215" spans="1:49" x14ac:dyDescent="0.25">
      <c r="A215" s="5">
        <v>45837</v>
      </c>
      <c r="B215" s="2">
        <f>0.311929218250914*(8350/2783.333)</f>
        <v>0.93578776682313347</v>
      </c>
      <c r="C215" s="2">
        <f>0.313336406242188*(8350/2783.333)</f>
        <v>0.94000933130253117</v>
      </c>
      <c r="D215" s="2">
        <f>0.225338417023526*(8350/2783.333)</f>
        <v>0.67601533203049857</v>
      </c>
      <c r="E215" s="2">
        <f>0.296040100192671*(8350/2783.333)</f>
        <v>0.88812040693973815</v>
      </c>
      <c r="F215" s="2">
        <f>0.250750166800159*(8350/2783.333)</f>
        <v>0.75225059049036758</v>
      </c>
      <c r="G215" s="2">
        <f>0.271487987687634*(8350/2783.333)</f>
        <v>0.81446406060350951</v>
      </c>
      <c r="H215" s="2">
        <f>0.26119127192595*(8350/2783.333)</f>
        <v>0.78357390961903772</v>
      </c>
      <c r="I215" s="2">
        <f>0.249303121996773*(8350/2783.333)</f>
        <v>0.74790945556031274</v>
      </c>
      <c r="J215" s="2">
        <f>0.209147227550957*(8350/2783.333)</f>
        <v>0.62744175779559641</v>
      </c>
      <c r="K215" s="2">
        <f>0.267127826555553*(8350/2783.333)</f>
        <v>0.80138357564073925</v>
      </c>
      <c r="L215" s="2">
        <f>0.212187448792467*(8350/2783.333)</f>
        <v>0.63656242261242191</v>
      </c>
      <c r="M215" s="2">
        <f>0.246268933022116*(8350/2783.333)</f>
        <v>0.7388068875462136</v>
      </c>
      <c r="N215" s="2">
        <f>0.0977110632509615*(8350/2783.333)</f>
        <v>0.29313322485865989</v>
      </c>
      <c r="O215" s="2">
        <f>0.398871467732989*(8350/2783.333)</f>
        <v>1.1966145465060973</v>
      </c>
      <c r="P215" s="2">
        <f>0.281056305839956*(8350/2783.333)</f>
        <v>0.8431690184981947</v>
      </c>
      <c r="Q215" s="2">
        <f>0.0759372989799996*(8350/2783.333)</f>
        <v>0.22781192422286387</v>
      </c>
      <c r="R215" s="2">
        <f>0.016748221458335*(8350/2783.333)</f>
        <v>5.0244670392330916E-2</v>
      </c>
      <c r="S215" s="2">
        <f>0*(8350/2783.333)</f>
        <v>0</v>
      </c>
      <c r="T215" s="2">
        <f t="shared" si="49"/>
        <v>0.10069243236843764</v>
      </c>
      <c r="U215" s="2">
        <f t="shared" si="50"/>
        <v>0.11437794326585224</v>
      </c>
      <c r="V215" s="2">
        <f t="shared" si="51"/>
        <v>0.11043877033537902</v>
      </c>
      <c r="W215" s="2">
        <f t="shared" si="52"/>
        <v>0.10705744606724045</v>
      </c>
      <c r="X215" s="2">
        <f t="shared" si="53"/>
        <v>0.11728533803050227</v>
      </c>
      <c r="Y215" s="2">
        <f t="shared" si="54"/>
        <v>0.10928020503416074</v>
      </c>
      <c r="Z215" s="2">
        <f t="shared" si="55"/>
        <v>0.10579568013572224</v>
      </c>
      <c r="AA215" s="2">
        <f t="shared" si="56"/>
        <v>0.11798772791544039</v>
      </c>
      <c r="AB215" s="2">
        <f t="shared" si="57"/>
        <v>0.10026757173055721</v>
      </c>
      <c r="AC215" s="2">
        <f t="shared" si="58"/>
        <v>0.1151901624778385</v>
      </c>
      <c r="AD215" s="2">
        <f t="shared" si="59"/>
        <v>0.10227444344259566</v>
      </c>
      <c r="AE215" s="2">
        <f t="shared" si="60"/>
        <v>0.10987695088187602</v>
      </c>
      <c r="AF215" s="2">
        <f t="shared" si="61"/>
        <v>0.11908712371493149</v>
      </c>
      <c r="AG215" s="2">
        <f t="shared" si="62"/>
        <v>9.9235315312320327E-2</v>
      </c>
      <c r="AH215" s="2">
        <f t="shared" si="63"/>
        <v>0.1199891551819615</v>
      </c>
      <c r="AI215" s="2">
        <f t="shared" si="64"/>
        <v>0.10099811712417744</v>
      </c>
      <c r="AJ215" s="2">
        <f>0*(8350/2783.333)</f>
        <v>0</v>
      </c>
      <c r="AK215" s="2">
        <f>0*(8350/2783.333)</f>
        <v>0</v>
      </c>
      <c r="AL215" s="2">
        <f>0*(8350/2783.333)</f>
        <v>0</v>
      </c>
      <c r="AM215" s="2">
        <f>0*(8350/2783.333)</f>
        <v>0</v>
      </c>
      <c r="AN215" s="2">
        <f>0*(8350/2783.333)</f>
        <v>0</v>
      </c>
      <c r="AO215" s="2">
        <f>0*(8350/2783.333)</f>
        <v>0</v>
      </c>
      <c r="AP215" s="2">
        <f>0.00149926958490099*(8350/2783.333)</f>
        <v>4.4978092933627804E-3</v>
      </c>
      <c r="AQ215" s="2">
        <f>0.00542062628309096*(8350/2783.333)</f>
        <v>1.6261880796803501E-2</v>
      </c>
      <c r="AR215" s="2">
        <f>0.0570056875372457*(8350/2783.333)</f>
        <v>0.17101708309282487</v>
      </c>
      <c r="AS215" s="2">
        <f>0.149528468490137*(8350/2783.333)</f>
        <v>0.44858545919322018</v>
      </c>
      <c r="AT215" s="2">
        <f>0.178377904914193*(8350/2783.333)</f>
        <v>0.53513377883045543</v>
      </c>
      <c r="AU215" s="2">
        <f>0.191406228265993*(8350/2783.333)</f>
        <v>0.5742187535666935</v>
      </c>
      <c r="AV215" s="2">
        <f>0.130267139721268*(8350/2783.333)</f>
        <v>0.39080146596637566</v>
      </c>
      <c r="AW215" s="2">
        <f>0.113777375872862*(8350/2783.333)</f>
        <v>0.34133216849669118</v>
      </c>
    </row>
    <row r="216" spans="1:49" x14ac:dyDescent="0.25">
      <c r="A216" s="5">
        <v>45838</v>
      </c>
      <c r="B216" s="2">
        <f>0.334810253721415*(8350/2783.333)</f>
        <v>1.0044308814553695</v>
      </c>
      <c r="C216" s="2">
        <f>0.340248735612682*(8350/2783.333)</f>
        <v>1.0207463290831167</v>
      </c>
      <c r="D216" s="2">
        <f>0.281673021279408*(8350/2783.333)</f>
        <v>0.84501916503812269</v>
      </c>
      <c r="E216" s="2">
        <f>0.317814567655981*(8350/2783.333)</f>
        <v>0.95344381715283277</v>
      </c>
      <c r="F216" s="2">
        <f>0.27809052766622*(8350/2783.333)</f>
        <v>0.83427168291143561</v>
      </c>
      <c r="G216" s="2">
        <f>0.282859212302824*(8350/2783.333)</f>
        <v>0.84857773853454699</v>
      </c>
      <c r="H216" s="2">
        <f>0.250686321318325*(8350/2783.333)</f>
        <v>0.75205905402192785</v>
      </c>
      <c r="I216" s="2">
        <f>0.280524260639359*(8350/2783.333)</f>
        <v>0.84157288270524855</v>
      </c>
      <c r="J216" s="2">
        <f>0.234102294474651*(8350/2783.333)</f>
        <v>0.70230696753257094</v>
      </c>
      <c r="K216" s="2">
        <f>0.297507069575596*(8350/2783.333)</f>
        <v>0.89252131561556824</v>
      </c>
      <c r="L216" s="2">
        <f>0.213851664077114*(8350/2783.333)</f>
        <v>0.64155506906428439</v>
      </c>
      <c r="M216" s="2">
        <f>0.188115982827269*(8350/2783.333)</f>
        <v>0.56434801606839569</v>
      </c>
      <c r="N216" s="2">
        <f>0.231275782775461*(8350/2783.333)</f>
        <v>0.69382743141948944</v>
      </c>
      <c r="O216" s="2">
        <f>0.0991544891539634*(8350/2783.333)</f>
        <v>0.29746350308626168</v>
      </c>
      <c r="P216" s="2">
        <f>0.0422446594667419*(8350/2783.333)</f>
        <v>0.12673399357794957</v>
      </c>
      <c r="Q216" s="2">
        <f>0*(8350/2783.333)</f>
        <v>0</v>
      </c>
      <c r="R216" s="2">
        <f>0*(8350/2783.333)</f>
        <v>0</v>
      </c>
      <c r="S216" s="2">
        <f>0.0201846953877816*(8350/2783.333)</f>
        <v>6.0554093415332182E-2</v>
      </c>
      <c r="T216" s="2">
        <f t="shared" si="49"/>
        <v>0.10069243236843764</v>
      </c>
      <c r="U216" s="2">
        <f t="shared" si="50"/>
        <v>0.11437794326585224</v>
      </c>
      <c r="V216" s="2">
        <f t="shared" si="51"/>
        <v>0.11043877033537902</v>
      </c>
      <c r="W216" s="2">
        <f t="shared" si="52"/>
        <v>0.10705744606724045</v>
      </c>
      <c r="X216" s="2">
        <f t="shared" si="53"/>
        <v>0.11728533803050227</v>
      </c>
      <c r="Y216" s="2">
        <f t="shared" si="54"/>
        <v>0.10928020503416074</v>
      </c>
      <c r="Z216" s="2">
        <f t="shared" si="55"/>
        <v>0.10579568013572224</v>
      </c>
      <c r="AA216" s="2">
        <f t="shared" si="56"/>
        <v>0.11798772791544039</v>
      </c>
      <c r="AB216" s="2">
        <f t="shared" si="57"/>
        <v>0.10026757173055721</v>
      </c>
      <c r="AC216" s="2">
        <f t="shared" si="58"/>
        <v>0.1151901624778385</v>
      </c>
      <c r="AD216" s="2">
        <f t="shared" si="59"/>
        <v>0.10227444344259566</v>
      </c>
      <c r="AE216" s="2">
        <f t="shared" si="60"/>
        <v>0.10987695088187602</v>
      </c>
      <c r="AF216" s="2">
        <f t="shared" si="61"/>
        <v>0.11908712371493149</v>
      </c>
      <c r="AG216" s="2">
        <f t="shared" si="62"/>
        <v>9.9235315312320327E-2</v>
      </c>
      <c r="AH216" s="2">
        <f t="shared" si="63"/>
        <v>0.1199891551819615</v>
      </c>
      <c r="AI216" s="2">
        <f t="shared" si="64"/>
        <v>0.10099811712417744</v>
      </c>
      <c r="AJ216" s="2">
        <f>0.106575901710372*(8350/2783.333)</f>
        <v>0.3197277434218625</v>
      </c>
      <c r="AK216" s="2">
        <f>0.164876574391763*(8350/2783.333)</f>
        <v>0.49462978241238897</v>
      </c>
      <c r="AL216" s="2">
        <f>0.0100601029930675*(8350/2783.333)</f>
        <v>3.0180312593611071E-2</v>
      </c>
      <c r="AM216" s="2">
        <f>0.0152026219083927*(8350/2783.333)</f>
        <v>4.5607871187198452E-2</v>
      </c>
      <c r="AN216" s="2">
        <f>0.018633299237523*(8350/2783.333)</f>
        <v>5.5899904407168327E-2</v>
      </c>
      <c r="AO216" s="2">
        <f>0.0502937976884103*(8350/2783.333)</f>
        <v>0.15088141113486109</v>
      </c>
      <c r="AP216" s="2">
        <f>0.318844665055611*(8350/2783.333)</f>
        <v>0.95653410972181729</v>
      </c>
      <c r="AQ216" s="2">
        <f>0.159230897065797*(8350/2783.333)</f>
        <v>0.47769274840610276</v>
      </c>
      <c r="AR216" s="2">
        <f>0.179347406635805*(8350/2783.333)</f>
        <v>0.53804228434361545</v>
      </c>
      <c r="AS216" s="2">
        <f>0.127661939764698*(8350/2783.333)</f>
        <v>0.38298586516066319</v>
      </c>
      <c r="AT216" s="2">
        <f>0.223300281703245*(8350/2783.333)</f>
        <v>0.66990092533739043</v>
      </c>
      <c r="AU216" s="2">
        <f>0.110464946295625*(8350/2783.333)</f>
        <v>0.33139487857488503</v>
      </c>
      <c r="AV216" s="2">
        <f>0.176426007303834*(8350/2783.333)</f>
        <v>0.52927808529809994</v>
      </c>
      <c r="AW216" s="2">
        <f>0.0973014170716009*(8350/2783.333)</f>
        <v>0.29190428617339997</v>
      </c>
    </row>
    <row r="217" spans="1:49" x14ac:dyDescent="0.25">
      <c r="A217" s="5">
        <v>45839</v>
      </c>
      <c r="B217" s="2">
        <f>0.285312503519923*(8350/2783.333)</f>
        <v>0.85593761306726723</v>
      </c>
      <c r="C217" s="2">
        <f>0.296996777695816*(8350/2783.333)</f>
        <v>0.89099043979289028</v>
      </c>
      <c r="D217" s="2">
        <f>0.240986918205716*(8350/2783.333)</f>
        <v>0.7229608411992835</v>
      </c>
      <c r="E217" s="2">
        <f>0.280751644314176*(8350/2783.333)</f>
        <v>0.84225503381139433</v>
      </c>
      <c r="F217" s="2">
        <f>0.235127103448124*(8350/2783.333)</f>
        <v>0.70538139482118511</v>
      </c>
      <c r="G217" s="2">
        <f>0.259642962046813*(8350/2783.333)</f>
        <v>0.77892897942534645</v>
      </c>
      <c r="H217" s="2">
        <f>0.241613863975376*(8350/2783.333)</f>
        <v>0.72484167873351524</v>
      </c>
      <c r="I217" s="2">
        <f>0.226469751944732*(8350/2783.333)</f>
        <v>0.67940933720058305</v>
      </c>
      <c r="J217" s="2">
        <f>0.194887189308846*(8350/2783.333)</f>
        <v>0.58466163794589643</v>
      </c>
      <c r="K217" s="2">
        <f>0.240938823952067*(8350/2783.333)</f>
        <v>0.72281655842105852</v>
      </c>
      <c r="L217" s="2">
        <f>0.155604129114476*(8350/2783.333)</f>
        <v>0.4668124432491092</v>
      </c>
      <c r="M217" s="2">
        <f>0.196927035887094*(8350/2783.333)</f>
        <v>0.59078117841351918</v>
      </c>
      <c r="N217" s="2">
        <f>0.219061899869091*(8350/2783.333)</f>
        <v>0.65718577831215697</v>
      </c>
      <c r="O217" s="2">
        <f>0.078121718727365*(8350/2783.333)</f>
        <v>0.23436518424978184</v>
      </c>
      <c r="P217" s="2">
        <f>0.125871842492741*(8350/2783.333)</f>
        <v>0.37761557270164547</v>
      </c>
      <c r="Q217" s="2">
        <f>0.276392901877514*(8350/2783.333)</f>
        <v>0.82917880493539264</v>
      </c>
      <c r="R217" s="2">
        <f>0.0446619238888934*(8350/2783.333)</f>
        <v>0.13398578771288244</v>
      </c>
      <c r="S217" s="2">
        <f>0.00416020439290156*(8350/2783.333)</f>
        <v>1.2480614673389075E-2</v>
      </c>
      <c r="T217" s="2">
        <f t="shared" si="49"/>
        <v>0.10069243236843764</v>
      </c>
      <c r="U217" s="2">
        <f t="shared" si="50"/>
        <v>0.11437794326585224</v>
      </c>
      <c r="V217" s="2">
        <f t="shared" si="51"/>
        <v>0.11043877033537902</v>
      </c>
      <c r="W217" s="2">
        <f t="shared" si="52"/>
        <v>0.10705744606724045</v>
      </c>
      <c r="X217" s="2">
        <f t="shared" si="53"/>
        <v>0.11728533803050227</v>
      </c>
      <c r="Y217" s="2">
        <f t="shared" si="54"/>
        <v>0.10928020503416074</v>
      </c>
      <c r="Z217" s="2">
        <f t="shared" si="55"/>
        <v>0.10579568013572224</v>
      </c>
      <c r="AA217" s="2">
        <f t="shared" si="56"/>
        <v>0.11798772791544039</v>
      </c>
      <c r="AB217" s="2">
        <f t="shared" si="57"/>
        <v>0.10026757173055721</v>
      </c>
      <c r="AC217" s="2">
        <f t="shared" si="58"/>
        <v>0.1151901624778385</v>
      </c>
      <c r="AD217" s="2">
        <f t="shared" si="59"/>
        <v>0.10227444344259566</v>
      </c>
      <c r="AE217" s="2">
        <f t="shared" si="60"/>
        <v>0.10987695088187602</v>
      </c>
      <c r="AF217" s="2">
        <f t="shared" si="61"/>
        <v>0.11908712371493149</v>
      </c>
      <c r="AG217" s="2">
        <f t="shared" si="62"/>
        <v>9.9235315312320327E-2</v>
      </c>
      <c r="AH217" s="2">
        <f t="shared" si="63"/>
        <v>0.1199891551819615</v>
      </c>
      <c r="AI217" s="2">
        <f t="shared" si="64"/>
        <v>0.10099811712417744</v>
      </c>
      <c r="AJ217" s="2">
        <f>0.0204662115660031*(8350/2783.333)</f>
        <v>6.1398642051140082E-2</v>
      </c>
      <c r="AK217" s="2">
        <f>0.0608544447300508*(8350/2783.333)</f>
        <v>0.18256335605402724</v>
      </c>
      <c r="AL217" s="2">
        <f>0.038515822887744*(8350/2783.333)</f>
        <v>0.11554748250125382</v>
      </c>
      <c r="AM217" s="2">
        <f>0.0819619615930734*(8350/2783.333)</f>
        <v>0.24588591422663519</v>
      </c>
      <c r="AN217" s="2">
        <f>0.00093166496187615*(8350/2783.333)</f>
        <v>2.794995220358417E-3</v>
      </c>
      <c r="AO217" s="2">
        <f>0.00402947340530291*(8350/2783.333)</f>
        <v>1.2088421663623889E-2</v>
      </c>
      <c r="AP217" s="2">
        <f>0.0123273276980748*(8350/2783.333)</f>
        <v>3.6981987523205063E-2</v>
      </c>
      <c r="AQ217" s="2">
        <f>0.0601350728280403*(8350/2783.333)</f>
        <v>0.18040524008953884</v>
      </c>
      <c r="AR217" s="2">
        <f>0.137369006357661*(8350/2783.333)</f>
        <v>0.41210706842712236</v>
      </c>
      <c r="AS217" s="2">
        <f>0.138273637528514*(8350/2783.333)</f>
        <v>0.41482096226469828</v>
      </c>
      <c r="AT217" s="2">
        <f>0.143620445500765*(8350/2783.333)</f>
        <v>0.43086138810246238</v>
      </c>
      <c r="AU217" s="2">
        <f>0.114445665081053*(8350/2783.333)</f>
        <v>0.34333703636136753</v>
      </c>
      <c r="AV217" s="2">
        <f>0.095105854683542*(8350/2783.333)</f>
        <v>0.28531759822039815</v>
      </c>
      <c r="AW217" s="2">
        <f>0.0923275427165031*(8350/2783.333)</f>
        <v>0.27698266132108551</v>
      </c>
    </row>
    <row r="218" spans="1:49" x14ac:dyDescent="0.25">
      <c r="A218" s="5">
        <v>45840</v>
      </c>
      <c r="B218" s="2">
        <f>0.288581222872852*(8350/2783.333)</f>
        <v>0.86574377230044397</v>
      </c>
      <c r="C218" s="2">
        <f>0.285943499561506*(8350/2783.333)</f>
        <v>0.85783060141872103</v>
      </c>
      <c r="D218" s="2">
        <f>0.236683580380613*(8350/2783.333)</f>
        <v>0.71005082617786752</v>
      </c>
      <c r="E218" s="2">
        <f>0.281678217397721*(8350/2783.333)</f>
        <v>0.84503475339493084</v>
      </c>
      <c r="F218" s="2">
        <f>0.234736526864323*(8350/2783.333)</f>
        <v>0.70420966492945547</v>
      </c>
      <c r="G218" s="2">
        <f>0.244481329226561*(8350/2783.333)</f>
        <v>0.73344407551729685</v>
      </c>
      <c r="H218" s="2">
        <f>0.243523854994944*(8350/2783.333)</f>
        <v>0.73057165247844424</v>
      </c>
      <c r="I218" s="2">
        <f>0.255826942011642*(8350/2783.333)</f>
        <v>0.76748091794880691</v>
      </c>
      <c r="J218" s="2">
        <f>0.218653919712364*(8350/2783.333)</f>
        <v>0.65596183769539618</v>
      </c>
      <c r="K218" s="2">
        <f>0.283365008169714*(8350/2783.333)</f>
        <v>0.85009512631694084</v>
      </c>
      <c r="L218" s="2">
        <f>0.195961349767161*(8350/2783.333)</f>
        <v>0.58788411970676613</v>
      </c>
      <c r="M218" s="2">
        <f>0.437468784420323*(8350/2783.333)</f>
        <v>1.3124065104354021</v>
      </c>
      <c r="N218" s="2">
        <f>0.172570345580327*(8350/2783.333)</f>
        <v>0.51771109874231047</v>
      </c>
      <c r="O218" s="2">
        <f>0.129952474421482*(8350/2783.333)</f>
        <v>0.38985746995396425</v>
      </c>
      <c r="P218" s="2">
        <f>0.0745747559974118*(8350/2783.333)</f>
        <v>0.22372429478556399</v>
      </c>
      <c r="Q218" s="2">
        <f>0*(8350/2783.333)</f>
        <v>0</v>
      </c>
      <c r="R218" s="2">
        <f>0*(8350/2783.333)</f>
        <v>0</v>
      </c>
      <c r="S218" s="2">
        <f>0*(8350/2783.333)</f>
        <v>0</v>
      </c>
      <c r="T218" s="2">
        <f t="shared" si="49"/>
        <v>0.10069243236843764</v>
      </c>
      <c r="U218" s="2">
        <f t="shared" si="50"/>
        <v>0.11437794326585224</v>
      </c>
      <c r="V218" s="2">
        <f t="shared" si="51"/>
        <v>0.11043877033537902</v>
      </c>
      <c r="W218" s="2">
        <f t="shared" si="52"/>
        <v>0.10705744606724045</v>
      </c>
      <c r="X218" s="2">
        <f t="shared" si="53"/>
        <v>0.11728533803050227</v>
      </c>
      <c r="Y218" s="2">
        <f t="shared" si="54"/>
        <v>0.10928020503416074</v>
      </c>
      <c r="Z218" s="2">
        <f t="shared" si="55"/>
        <v>0.10579568013572224</v>
      </c>
      <c r="AA218" s="2">
        <f t="shared" si="56"/>
        <v>0.11798772791544039</v>
      </c>
      <c r="AB218" s="2">
        <f t="shared" si="57"/>
        <v>0.10026757173055721</v>
      </c>
      <c r="AC218" s="2">
        <f t="shared" si="58"/>
        <v>0.1151901624778385</v>
      </c>
      <c r="AD218" s="2">
        <f t="shared" si="59"/>
        <v>0.10227444344259566</v>
      </c>
      <c r="AE218" s="2">
        <f t="shared" si="60"/>
        <v>0.10987695088187602</v>
      </c>
      <c r="AF218" s="2">
        <f t="shared" si="61"/>
        <v>0.11908712371493149</v>
      </c>
      <c r="AG218" s="2">
        <f t="shared" si="62"/>
        <v>9.9235315312320327E-2</v>
      </c>
      <c r="AH218" s="2">
        <f t="shared" si="63"/>
        <v>0.1199891551819615</v>
      </c>
      <c r="AI218" s="2">
        <f t="shared" si="64"/>
        <v>0.10099811712417744</v>
      </c>
      <c r="AJ218" s="2">
        <f>0.00288042977595599*(8350/2783.333)</f>
        <v>8.6412903627530492E-3</v>
      </c>
      <c r="AK218" s="2">
        <f>0.000599551179606411*(8350/2783.333)</f>
        <v>1.798653754226869E-3</v>
      </c>
      <c r="AL218" s="2">
        <f>0.0661092482401576*(8350/2783.333)</f>
        <v>0.19832776847230144</v>
      </c>
      <c r="AM218" s="2">
        <f>0.102782943771959*(8350/2783.333)</f>
        <v>0.30834886824388519</v>
      </c>
      <c r="AN218" s="2">
        <f>0.037266598475046*(8350/2783.333)</f>
        <v>0.11179980881433668</v>
      </c>
      <c r="AO218" s="2">
        <f>0.0152224550866998*(8350/2783.333)</f>
        <v>4.5667370729245746E-2</v>
      </c>
      <c r="AP218" s="2">
        <f>0.0346497859621563*(8350/2783.333)</f>
        <v>0.10394937033549538</v>
      </c>
      <c r="AQ218" s="2">
        <f>0.0254091857019889*(8350/2783.333)</f>
        <v>7.6227566235016433E-2</v>
      </c>
      <c r="AR218" s="2">
        <f>0.0790565981891889*(8350/2783.333)</f>
        <v>0.23716982297113828</v>
      </c>
      <c r="AS218" s="2">
        <f>0.173967530006804*(8350/2783.333)</f>
        <v>0.52190265252372492</v>
      </c>
      <c r="AT218" s="2">
        <f>0.143128594660009*(8350/2783.333)</f>
        <v>0.42938583540348124</v>
      </c>
      <c r="AU218" s="2">
        <f>0.133851669160015*(8350/2783.333)</f>
        <v>0.40155505557046933</v>
      </c>
      <c r="AV218" s="2">
        <f>0.0938666904531375*(8350/2783.333)</f>
        <v>0.28160010508397604</v>
      </c>
      <c r="AW218" s="2">
        <f>0.0923275427165031*(8350/2783.333)</f>
        <v>0.27698266132108551</v>
      </c>
    </row>
    <row r="219" spans="1:49" x14ac:dyDescent="0.25">
      <c r="A219" s="5">
        <v>45841</v>
      </c>
      <c r="B219" s="2">
        <f>0.26943586666284*(8350/2783.333)</f>
        <v>0.80830769679183834</v>
      </c>
      <c r="C219" s="2">
        <f>0.282098881080007*(8350/2783.333)</f>
        <v>0.84629674459292314</v>
      </c>
      <c r="D219" s="2">
        <f>0.214384466195994*(8350/2783.333)</f>
        <v>0.64315347561234937</v>
      </c>
      <c r="E219" s="2">
        <f>0.283994650106584*(8350/2783.333)</f>
        <v>0.85198405235377017</v>
      </c>
      <c r="F219" s="2">
        <f>0.252703049719163*(8350/2783.333)</f>
        <v>0.75810923994901491</v>
      </c>
      <c r="G219" s="2">
        <f>0.274804594867065*(8350/2783.333)</f>
        <v>0.82441388333339605</v>
      </c>
      <c r="H219" s="2">
        <f>0.268353738249331*(8350/2783.333)</f>
        <v>0.80506131116252067</v>
      </c>
      <c r="I219" s="2">
        <f>0.266078659177864*(8350/2783.333)</f>
        <v>0.79823607313072586</v>
      </c>
      <c r="J219" s="2">
        <f>0.2218228170995*(8350/2783.333)</f>
        <v>0.66546853099532977</v>
      </c>
      <c r="K219" s="2">
        <f>0.280746107909365*(8350/2783.333)</f>
        <v>0.84223842459497289</v>
      </c>
      <c r="L219" s="2">
        <f>0.190552650092059*(8350/2783.333)</f>
        <v>0.57165801873821431</v>
      </c>
      <c r="M219" s="2">
        <f>0.137011875080283*(8350/2783.333)</f>
        <v>0.41103567446667677</v>
      </c>
      <c r="N219" s="2">
        <f>0.158780477782812*(8350/2783.333)</f>
        <v>0.47634149039532192</v>
      </c>
      <c r="O219" s="2">
        <f>0.197182222749359*(8350/2783.333)</f>
        <v>0.59154673909199784</v>
      </c>
      <c r="P219" s="2">
        <f>0.19613591895273*(8350/2783.333)</f>
        <v>0.58840782732619445</v>
      </c>
      <c r="Q219" s="2">
        <f>0.216492051129315*(8350/2783.333)</f>
        <v>0.64947623116953102</v>
      </c>
      <c r="R219" s="2">
        <f>0.0647597896388955*(8350/2783.333)</f>
        <v>0.19427939218367959</v>
      </c>
      <c r="S219" s="2">
        <f>0.00477653096962772*(8350/2783.333)</f>
        <v>1.432959462500227E-2</v>
      </c>
      <c r="T219" s="2">
        <f t="shared" si="49"/>
        <v>0.10069243236843764</v>
      </c>
      <c r="U219" s="2">
        <f t="shared" si="50"/>
        <v>0.11437794326585224</v>
      </c>
      <c r="V219" s="2">
        <f t="shared" si="51"/>
        <v>0.11043877033537902</v>
      </c>
      <c r="W219" s="2">
        <f t="shared" si="52"/>
        <v>0.10705744606724045</v>
      </c>
      <c r="X219" s="2">
        <f t="shared" si="53"/>
        <v>0.11728533803050227</v>
      </c>
      <c r="Y219" s="2">
        <f t="shared" si="54"/>
        <v>0.10928020503416074</v>
      </c>
      <c r="Z219" s="2">
        <f t="shared" si="55"/>
        <v>0.10579568013572224</v>
      </c>
      <c r="AA219" s="2">
        <f t="shared" si="56"/>
        <v>0.11798772791544039</v>
      </c>
      <c r="AB219" s="2">
        <f t="shared" si="57"/>
        <v>0.10026757173055721</v>
      </c>
      <c r="AC219" s="2">
        <f t="shared" si="58"/>
        <v>0.1151901624778385</v>
      </c>
      <c r="AD219" s="2">
        <f t="shared" si="59"/>
        <v>0.10227444344259566</v>
      </c>
      <c r="AE219" s="2">
        <f t="shared" si="60"/>
        <v>0.10987695088187602</v>
      </c>
      <c r="AF219" s="2">
        <f t="shared" si="61"/>
        <v>0.11908712371493149</v>
      </c>
      <c r="AG219" s="2">
        <f t="shared" si="62"/>
        <v>9.9235315312320327E-2</v>
      </c>
      <c r="AH219" s="2">
        <f t="shared" si="63"/>
        <v>0.1199891551819615</v>
      </c>
      <c r="AI219" s="2">
        <f t="shared" si="64"/>
        <v>0.10099811712417744</v>
      </c>
      <c r="AJ219" s="2">
        <f>0*(8350/2783.333)</f>
        <v>0</v>
      </c>
      <c r="AK219" s="2">
        <f>0*(8350/2783.333)</f>
        <v>0</v>
      </c>
      <c r="AL219" s="2">
        <f>0*(8350/2783.333)</f>
        <v>0</v>
      </c>
      <c r="AM219" s="2">
        <f>0.00165245890308616*(8350/2783.333)</f>
        <v>4.9573773029563516E-3</v>
      </c>
      <c r="AN219" s="2">
        <f>0.00217388491104435*(8350/2783.333)</f>
        <v>6.5216555141696378E-3</v>
      </c>
      <c r="AO219" s="2">
        <f>0.00850666607786169*(8350/2783.333)</f>
        <v>2.5520001289872647E-2</v>
      </c>
      <c r="AP219" s="2">
        <f>0.0274866090565182*(8350/2783.333)</f>
        <v>8.2459837044984302E-2</v>
      </c>
      <c r="AQ219" s="2">
        <f>0.0675884339672904*(8350/2783.333)</f>
        <v>0.20276532618514367</v>
      </c>
      <c r="AR219" s="2">
        <f>0.193884673658197*(8350/2783.333)</f>
        <v>0.58165409063376294</v>
      </c>
      <c r="AS219" s="2">
        <f>0.14888533529233*(8350/2783.333)</f>
        <v>0.44665605936873271</v>
      </c>
      <c r="AT219" s="2">
        <f>0.227071138149041*(8350/2783.333)</f>
        <v>0.68121349602957859</v>
      </c>
      <c r="AU219" s="2">
        <f>0.166360872574343*(8350/2783.333)</f>
        <v>0.49908267749340829</v>
      </c>
      <c r="AV219" s="2">
        <f>0.161710932067781*(8350/2783.333)</f>
        <v>0.48513285430308722</v>
      </c>
      <c r="AW219" s="2">
        <f>0.138025013353964*(8350/2783.333)</f>
        <v>0.41407508965172402</v>
      </c>
    </row>
    <row r="220" spans="1:49" x14ac:dyDescent="0.25">
      <c r="A220" s="5">
        <v>45842</v>
      </c>
      <c r="B220" s="2">
        <f>0.41512735782195*(8350/2783.333)</f>
        <v>1.2453822226134219</v>
      </c>
      <c r="C220" s="2">
        <f>0.434441888409414*(8350/2783.333)</f>
        <v>1.3033258213151659</v>
      </c>
      <c r="D220" s="2">
        <f>0.325097612059983*(8350/2783.333)</f>
        <v>0.97529295298150087</v>
      </c>
      <c r="E220" s="2">
        <f>0.337272602410429*(8350/2783.333)</f>
        <v>1.0118179284070876</v>
      </c>
      <c r="F220" s="2">
        <f>0.283558599839432*(8350/2783.333)</f>
        <v>0.85067590139564897</v>
      </c>
      <c r="G220" s="2">
        <f>0.306075462558834*(8350/2783.333)</f>
        <v>0.91822649764374786</v>
      </c>
      <c r="H220" s="2">
        <f>0.283156168650984*(8350/2783.333)</f>
        <v>0.84946860768572086</v>
      </c>
      <c r="I220" s="2">
        <f>0.287980054942066*(8350/2783.333)</f>
        <v>0.86394026829209891</v>
      </c>
      <c r="J220" s="2">
        <f>0.246777884023194*(8350/2783.333)</f>
        <v>0.74033374073230396</v>
      </c>
      <c r="K220" s="2">
        <f>0.337314353532894*(8350/2783.333)</f>
        <v>1.0119431817894824</v>
      </c>
      <c r="L220" s="2">
        <f>0.254208884729799*(8350/2783.333)</f>
        <v>0.76262674552194043</v>
      </c>
      <c r="M220" s="2">
        <f>0.269618223630653*(8350/2783.333)</f>
        <v>0.80885476776079201</v>
      </c>
      <c r="N220" s="2">
        <f>0.127260779959922*(8350/2783.333)</f>
        <v>0.38178238560220618</v>
      </c>
      <c r="O220" s="2">
        <f>0.132957155910996*(8350/2783.333)</f>
        <v>0.39887151550203231</v>
      </c>
      <c r="P220" s="2">
        <f>0.199153394628926*(8350/2783.333)</f>
        <v>0.59746025543890535</v>
      </c>
      <c r="Q220" s="2">
        <f>0.423079237174283*(8350/2783.333)</f>
        <v>1.2692378635273844</v>
      </c>
      <c r="R220" s="2">
        <f>0.128030848481495*(8350/2783.333)</f>
        <v>0.38409259144359631</v>
      </c>
      <c r="S220" s="2">
        <f>0.0362091863826617*(8350/2783.333)</f>
        <v>0.10862757215727528</v>
      </c>
      <c r="T220" s="2">
        <f t="shared" si="49"/>
        <v>0.10069243236843764</v>
      </c>
      <c r="U220" s="2">
        <f t="shared" si="50"/>
        <v>0.11437794326585224</v>
      </c>
      <c r="V220" s="2">
        <f t="shared" si="51"/>
        <v>0.11043877033537902</v>
      </c>
      <c r="W220" s="2">
        <f t="shared" si="52"/>
        <v>0.10705744606724045</v>
      </c>
      <c r="X220" s="2">
        <f t="shared" si="53"/>
        <v>0.11728533803050227</v>
      </c>
      <c r="Y220" s="2">
        <f t="shared" si="54"/>
        <v>0.10928020503416074</v>
      </c>
      <c r="Z220" s="2">
        <f t="shared" si="55"/>
        <v>0.10579568013572224</v>
      </c>
      <c r="AA220" s="2">
        <f t="shared" si="56"/>
        <v>0.11798772791544039</v>
      </c>
      <c r="AB220" s="2">
        <f t="shared" si="57"/>
        <v>0.10026757173055721</v>
      </c>
      <c r="AC220" s="2">
        <f t="shared" si="58"/>
        <v>0.1151901624778385</v>
      </c>
      <c r="AD220" s="2">
        <f t="shared" si="59"/>
        <v>0.10227444344259566</v>
      </c>
      <c r="AE220" s="2">
        <f t="shared" si="60"/>
        <v>0.10987695088187602</v>
      </c>
      <c r="AF220" s="2">
        <f t="shared" si="61"/>
        <v>0.11908712371493149</v>
      </c>
      <c r="AG220" s="2">
        <f t="shared" si="62"/>
        <v>9.9235315312320327E-2</v>
      </c>
      <c r="AH220" s="2">
        <f t="shared" si="63"/>
        <v>0.1199891551819615</v>
      </c>
      <c r="AI220" s="2">
        <f t="shared" si="64"/>
        <v>0.10099811712417744</v>
      </c>
      <c r="AJ220" s="2">
        <f>0.0344135557443163*(8350/2783.333)</f>
        <v>0.10324067959710222</v>
      </c>
      <c r="AK220" s="2">
        <f>0.130102605974591*(8350/2783.333)</f>
        <v>0.39030786466723044</v>
      </c>
      <c r="AL220" s="2">
        <f>0.329683946658525*(8350/2783.333)</f>
        <v>0.98905195842491156</v>
      </c>
      <c r="AM220" s="2">
        <f>0.297112110774891*(8350/2783.333)</f>
        <v>0.89133643907155213</v>
      </c>
      <c r="AN220" s="2">
        <f>0.187575212324398*(8350/2783.333)</f>
        <v>0.56272570436549452</v>
      </c>
      <c r="AO220" s="2">
        <f>0.104020109759116*(8350/2783.333)</f>
        <v>0.3120603666498461</v>
      </c>
      <c r="AP220" s="2">
        <f>0.121107665358114*(8350/2783.333)</f>
        <v>0.36332303958608203</v>
      </c>
      <c r="AQ220" s="2">
        <f>0.142630229073831*(8350/2783.333)</f>
        <v>0.42789073846589221</v>
      </c>
      <c r="AR220" s="2">
        <f>0.203031718076781*(8350/2783.333)</f>
        <v>0.60909522717587827</v>
      </c>
      <c r="AS220" s="2">
        <f>0.243586698669417*(8350/2783.333)</f>
        <v>0.73076018352443939</v>
      </c>
      <c r="AT220" s="2">
        <f>0.220513126938961*(8350/2783.333)</f>
        <v>0.66153946004316444</v>
      </c>
      <c r="AU220" s="2">
        <f>0.181122704736971*(8350/2783.333)</f>
        <v>0.54336817928494674</v>
      </c>
      <c r="AV220" s="2">
        <f>0.155205319858158*(8350/2783.333)</f>
        <v>0.46561601533687103</v>
      </c>
      <c r="AW220" s="2">
        <f>0.172842133839649*(8350/2783.333)</f>
        <v>0.51852646361792432</v>
      </c>
    </row>
    <row r="221" spans="1:49" x14ac:dyDescent="0.25">
      <c r="A221" s="5">
        <v>45843</v>
      </c>
      <c r="B221" s="2">
        <f>0.463224228300759*(8350/2783.333)</f>
        <v>1.3896728513301622</v>
      </c>
      <c r="C221" s="2">
        <f>0.493072320252277*(8350/2783.333)</f>
        <v>1.4792171379085843</v>
      </c>
      <c r="D221" s="2">
        <f>0.392386167143397*(8350/2783.333)</f>
        <v>1.1771586424072744</v>
      </c>
      <c r="E221" s="2">
        <f>0.435952635807986*(8350/2783.333)</f>
        <v>1.3078580640536672</v>
      </c>
      <c r="F221" s="2">
        <f>0.338629898155354*(8350/2783.333)</f>
        <v>1.0158898161295145</v>
      </c>
      <c r="G221" s="2">
        <f>0.350612758968324*(8350/2783.333)</f>
        <v>1.0518384028736423</v>
      </c>
      <c r="H221" s="2">
        <f>0.316103513738536*(8350/2783.333)</f>
        <v>0.94831065478574528</v>
      </c>
      <c r="I221" s="2">
        <f>0.289844003517743*(8350/2783.333)</f>
        <v>0.86953211468881186</v>
      </c>
      <c r="J221" s="2">
        <f>0.242420650115882*(8350/2783.333)</f>
        <v>0.72726203744489604</v>
      </c>
      <c r="K221" s="2">
        <f>0.317934491606315*(8350/2783.333)</f>
        <v>0.95380358904691886</v>
      </c>
      <c r="L221" s="2">
        <f>0.281252383105309*(8350/2783.333)</f>
        <v>0.8437572503647004</v>
      </c>
      <c r="M221" s="2">
        <f>0.269177670977661*(8350/2783.333)</f>
        <v>0.80753310964353497</v>
      </c>
      <c r="N221" s="2">
        <f>0.401876147241858*(8350/2783.333)</f>
        <v>1.2056285861122302</v>
      </c>
      <c r="O221" s="2">
        <f>0.147229392986188*(8350/2783.333)</f>
        <v>0.44168823185535827</v>
      </c>
      <c r="P221" s="2">
        <f>0.106042716620597*(8350/2783.333)</f>
        <v>0.31812818796097547</v>
      </c>
      <c r="Q221" s="2">
        <f>0.4117593913636*(8350/2783.333)</f>
        <v>1.2352783220283239</v>
      </c>
      <c r="R221" s="2">
        <f>0.0792749149027859*(8350/2783.333)</f>
        <v>0.23782477319036638</v>
      </c>
      <c r="S221" s="2">
        <f>0*(8350/2783.333)</f>
        <v>0</v>
      </c>
      <c r="T221" s="2">
        <f t="shared" si="49"/>
        <v>0.10069243236843764</v>
      </c>
      <c r="U221" s="2">
        <f t="shared" si="50"/>
        <v>0.11437794326585224</v>
      </c>
      <c r="V221" s="2">
        <f t="shared" si="51"/>
        <v>0.11043877033537902</v>
      </c>
      <c r="W221" s="2">
        <f t="shared" si="52"/>
        <v>0.10705744606724045</v>
      </c>
      <c r="X221" s="2">
        <f t="shared" si="53"/>
        <v>0.11728533803050227</v>
      </c>
      <c r="Y221" s="2">
        <f t="shared" si="54"/>
        <v>0.10928020503416074</v>
      </c>
      <c r="Z221" s="2">
        <f t="shared" si="55"/>
        <v>0.10579568013572224</v>
      </c>
      <c r="AA221" s="2">
        <f t="shared" si="56"/>
        <v>0.11798772791544039</v>
      </c>
      <c r="AB221" s="2">
        <f t="shared" si="57"/>
        <v>0.10026757173055721</v>
      </c>
      <c r="AC221" s="2">
        <f t="shared" si="58"/>
        <v>0.1151901624778385</v>
      </c>
      <c r="AD221" s="2">
        <f t="shared" si="59"/>
        <v>0.10227444344259566</v>
      </c>
      <c r="AE221" s="2">
        <f t="shared" si="60"/>
        <v>0.10987695088187602</v>
      </c>
      <c r="AF221" s="2">
        <f t="shared" si="61"/>
        <v>0.11908712371493149</v>
      </c>
      <c r="AG221" s="2">
        <f t="shared" si="62"/>
        <v>9.9235315312320327E-2</v>
      </c>
      <c r="AH221" s="2">
        <f t="shared" si="63"/>
        <v>0.1199891551819615</v>
      </c>
      <c r="AI221" s="2">
        <f t="shared" si="64"/>
        <v>0.10099811712417744</v>
      </c>
      <c r="AJ221" s="2">
        <f>0*(8350/2783.333)</f>
        <v>0</v>
      </c>
      <c r="AK221" s="2">
        <f>0.226030794711617*(8350/2783.333)</f>
        <v>0.67809246534352985</v>
      </c>
      <c r="AL221" s="2">
        <f>0.200339765319086*(8350/2783.333)</f>
        <v>0.60101936793562627</v>
      </c>
      <c r="AM221" s="2">
        <f>0.00231344246432062*(8350/2783.333)</f>
        <v>6.9403282241388923E-3</v>
      </c>
      <c r="AN221" s="2">
        <f>0*(8350/2783.333)</f>
        <v>0</v>
      </c>
      <c r="AO221" s="2">
        <f>0.0391008160070134*(8350/2783.333)</f>
        <v>0.11730246206923919</v>
      </c>
      <c r="AP221" s="2">
        <f>0.147761346867465*(8350/2783.333)</f>
        <v>0.44328409369030919</v>
      </c>
      <c r="AQ221" s="2">
        <f>0.122133485940893*(8350/2783.333)</f>
        <v>0.36640050170297889</v>
      </c>
      <c r="AR221" s="2">
        <f>0.222959207702981*(8350/2783.333)</f>
        <v>0.66887770321405771</v>
      </c>
      <c r="AS221" s="2">
        <f>0.130877605753733*(8350/2783.333)</f>
        <v>0.39263286428309802</v>
      </c>
      <c r="AT221" s="2">
        <f>0.149030804749082*(8350/2783.333)</f>
        <v>0.44709246779125378</v>
      </c>
      <c r="AU221" s="2">
        <f>0.167521915553426*(8350/2783.333)</f>
        <v>0.50256580684779883</v>
      </c>
      <c r="AV221" s="2">
        <f>0.157993439376568*(8350/2783.333)</f>
        <v>0.47398037489382105</v>
      </c>
      <c r="AW221" s="2">
        <f>0.165225888733405*(8350/2783.333)</f>
        <v>0.49567772556281808</v>
      </c>
    </row>
    <row r="222" spans="1:49" x14ac:dyDescent="0.25">
      <c r="A222" s="5">
        <v>45844</v>
      </c>
      <c r="B222" s="2">
        <f>0.462290308485636*(8350/2783.333)</f>
        <v>1.3868710915492546</v>
      </c>
      <c r="C222" s="2">
        <f>0.385903580080486*(8350/2783.333)</f>
        <v>1.1577108788894677</v>
      </c>
      <c r="D222" s="2">
        <f>0.273457558158758*(8350/2783.333)</f>
        <v>0.82037277272451103</v>
      </c>
      <c r="E222" s="2">
        <f>0.318741140739527*(8350/2783.333)</f>
        <v>0.95622353673636862</v>
      </c>
      <c r="F222" s="2">
        <f>0.289417248596445*(8350/2783.333)</f>
        <v>0.86825184977159153</v>
      </c>
      <c r="G222" s="2">
        <f>0.314603881020226*(8350/2783.333)</f>
        <v>0.94381175609202506</v>
      </c>
      <c r="H222" s="2">
        <f>0.306076060885803*(8350/2783.333)</f>
        <v>0.91822829262486794</v>
      </c>
      <c r="I222" s="2">
        <f>0.290775977805582*(8350/2783.333)</f>
        <v>0.87232803788716873</v>
      </c>
      <c r="J222" s="2">
        <f>0.246777884023194*(8350/2783.333)</f>
        <v>0.74033374073230396</v>
      </c>
      <c r="K222" s="2">
        <f>0.313220471137687*(8350/2783.333)</f>
        <v>0.93966152594737673</v>
      </c>
      <c r="L222" s="2">
        <f>0.233822247492875*(8350/2783.333)</f>
        <v>0.70146682648662928</v>
      </c>
      <c r="M222" s="2">
        <f>0.480642944413467*(8350/2783.333)</f>
        <v>1.4419290059265095</v>
      </c>
      <c r="N222" s="2">
        <f>0.203696047180432*(8350/2783.333)</f>
        <v>0.61108821472551311</v>
      </c>
      <c r="O222" s="2">
        <f>0.347416297225061*(8350/2783.333)</f>
        <v>1.0422490164954239</v>
      </c>
      <c r="P222" s="2">
        <f>0.696174745293757*(8350/2783.333)</f>
        <v>2.0885244860039642</v>
      </c>
      <c r="Q222" s="2">
        <f>0.322143945362359*(8350/2783.333)</f>
        <v>0.96643195182742925</v>
      </c>
      <c r="R222" s="2">
        <f>0.016748221458335*(8350/2783.333)</f>
        <v>5.0244670392330916E-2</v>
      </c>
      <c r="S222" s="2">
        <f>0.00231122466272309*(8350/2783.333)</f>
        <v>6.9336748185494816E-3</v>
      </c>
      <c r="T222" s="2">
        <f t="shared" si="49"/>
        <v>0.10069243236843764</v>
      </c>
      <c r="U222" s="2">
        <f t="shared" si="50"/>
        <v>0.11437794326585224</v>
      </c>
      <c r="V222" s="2">
        <f t="shared" si="51"/>
        <v>0.11043877033537902</v>
      </c>
      <c r="W222" s="2">
        <f t="shared" si="52"/>
        <v>0.10705744606724045</v>
      </c>
      <c r="X222" s="2">
        <f t="shared" si="53"/>
        <v>0.11728533803050227</v>
      </c>
      <c r="Y222" s="2">
        <f t="shared" si="54"/>
        <v>0.10928020503416074</v>
      </c>
      <c r="Z222" s="2">
        <f t="shared" si="55"/>
        <v>0.10579568013572224</v>
      </c>
      <c r="AA222" s="2">
        <f t="shared" si="56"/>
        <v>0.11798772791544039</v>
      </c>
      <c r="AB222" s="2">
        <f t="shared" si="57"/>
        <v>0.10026757173055721</v>
      </c>
      <c r="AC222" s="2">
        <f t="shared" si="58"/>
        <v>0.1151901624778385</v>
      </c>
      <c r="AD222" s="2">
        <f t="shared" si="59"/>
        <v>0.10227444344259566</v>
      </c>
      <c r="AE222" s="2">
        <f t="shared" si="60"/>
        <v>0.10987695088187602</v>
      </c>
      <c r="AF222" s="2">
        <f t="shared" si="61"/>
        <v>0.11908712371493149</v>
      </c>
      <c r="AG222" s="2">
        <f t="shared" si="62"/>
        <v>9.9235315312320327E-2</v>
      </c>
      <c r="AH222" s="2">
        <f t="shared" si="63"/>
        <v>0.1199891551819615</v>
      </c>
      <c r="AI222" s="2">
        <f t="shared" si="64"/>
        <v>0.10099811712417744</v>
      </c>
      <c r="AJ222" s="2">
        <f>0.000151601567155579*(8350/2783.333)</f>
        <v>4.5480475593437099E-4</v>
      </c>
      <c r="AK222" s="2">
        <f>0.00689483856547373*(8350/2783.333)</f>
        <v>2.0684518173608998E-2</v>
      </c>
      <c r="AL222" s="2">
        <f>0.053749693134389*(8350/2783.333)</f>
        <v>0.16124909871443638</v>
      </c>
      <c r="AM222" s="2">
        <f>0.0194990150564167*(8350/2783.333)</f>
        <v>5.8497052174884941E-2</v>
      </c>
      <c r="AN222" s="2">
        <f>0.0462726931065155*(8350/2783.333)</f>
        <v>0.13881809594446806</v>
      </c>
      <c r="AO222" s="2">
        <f>0.0328327462654311*(8350/2783.333)</f>
        <v>9.8498250592490941E-2</v>
      </c>
      <c r="AP222" s="2">
        <f>0.0711320125280805*(8350/2783.333)</f>
        <v>0.21339606314065629</v>
      </c>
      <c r="AQ222" s="2">
        <f>0.0891015445283076*(8350/2783.333)</f>
        <v>0.26730466559745758</v>
      </c>
      <c r="AR222" s="2">
        <f>0.191107892316841*(8350/2783.333)</f>
        <v>0.57332374561204913</v>
      </c>
      <c r="AS222" s="2">
        <f>0.181685128380489*(8350/2783.333)</f>
        <v>0.54505545041756831</v>
      </c>
      <c r="AT222" s="2">
        <f>0.153457462315886*(8350/2783.333)</f>
        <v>0.46037244208208311</v>
      </c>
      <c r="AU222" s="2">
        <f>0.185601013370578*(8350/2783.333)</f>
        <v>0.55680310679473966</v>
      </c>
      <c r="AV222" s="2">
        <f>0.142813677554114*(8350/2783.333)</f>
        <v>0.42844108397264996</v>
      </c>
      <c r="AW222" s="2">
        <f>0.113777375872862*(8350/2783.333)</f>
        <v>0.34133216849669118</v>
      </c>
    </row>
    <row r="223" spans="1:49" x14ac:dyDescent="0.25">
      <c r="A223" s="5">
        <v>45845</v>
      </c>
      <c r="B223" s="2">
        <f>0.336211133444099*(8350/2783.333)</f>
        <v>1.0086335211267305</v>
      </c>
      <c r="C223" s="2">
        <f>0.345054508714557*(8350/2783.333)</f>
        <v>1.0351636501153645</v>
      </c>
      <c r="D223" s="2">
        <f>0.275804833336087*(8350/2783.333)</f>
        <v>0.82741459909982884</v>
      </c>
      <c r="E223" s="2">
        <f>0.334029596618021*(8350/2783.333)</f>
        <v>1.0020889098647117</v>
      </c>
      <c r="F223" s="2">
        <f>0.278871680833821*(8350/2783.333)</f>
        <v>0.83661514269489445</v>
      </c>
      <c r="G223" s="2">
        <f>0.318394289225289*(8350/2783.333)</f>
        <v>0.95518298206903751</v>
      </c>
      <c r="H223" s="2">
        <f>0.253073810092785*(8350/2783.333)</f>
        <v>0.75922152120308894</v>
      </c>
      <c r="I223" s="2">
        <f>0.293105913525178*(8350/2783.333)</f>
        <v>0.87931784588305928</v>
      </c>
      <c r="J223" s="2">
        <f>0.235290630994827*(8350/2783.333)</f>
        <v>0.70587197752004605</v>
      </c>
      <c r="K223" s="2">
        <f>0.314791811293896*(8350/2783.333)</f>
        <v>0.9443755469805567</v>
      </c>
      <c r="L223" s="2">
        <f>0.224669063427318*(8350/2783.333)</f>
        <v>0.67400727100138758</v>
      </c>
      <c r="M223" s="2">
        <f>0.27931038199646*(8350/2783.333)</f>
        <v>0.83793124634042804</v>
      </c>
      <c r="N223" s="2">
        <f>0.325046883798561*(8350/2783.333)</f>
        <v>0.97514076817900941</v>
      </c>
      <c r="O223" s="2">
        <f>0.0713611853759585*(8350/2783.333)</f>
        <v>0.21408358176662767</v>
      </c>
      <c r="P223" s="2">
        <f>0.216396112778617*(8350/2783.333)</f>
        <v>0.64918841608296618</v>
      </c>
      <c r="Q223" s="2">
        <f>0.113198458106832*(8350/2783.333)</f>
        <v>0.33959541499060469</v>
      </c>
      <c r="R223" s="2">
        <f>0.00148873079629645*(8350/2783.333)</f>
        <v>4.4661929237627476E-3</v>
      </c>
      <c r="S223" s="2">
        <f>0.00416020439290156*(8350/2783.333)</f>
        <v>1.2480614673389075E-2</v>
      </c>
      <c r="T223" s="2">
        <f t="shared" si="49"/>
        <v>0.10069243236843764</v>
      </c>
      <c r="U223" s="2">
        <f t="shared" si="50"/>
        <v>0.11437794326585224</v>
      </c>
      <c r="V223" s="2">
        <f t="shared" si="51"/>
        <v>0.11043877033537902</v>
      </c>
      <c r="W223" s="2">
        <f t="shared" si="52"/>
        <v>0.10705744606724045</v>
      </c>
      <c r="X223" s="2">
        <f t="shared" si="53"/>
        <v>0.11728533803050227</v>
      </c>
      <c r="Y223" s="2">
        <f t="shared" si="54"/>
        <v>0.10928020503416074</v>
      </c>
      <c r="Z223" s="2">
        <f t="shared" si="55"/>
        <v>0.10579568013572224</v>
      </c>
      <c r="AA223" s="2">
        <f t="shared" si="56"/>
        <v>0.11798772791544039</v>
      </c>
      <c r="AB223" s="2">
        <f t="shared" si="57"/>
        <v>0.10026757173055721</v>
      </c>
      <c r="AC223" s="2">
        <f t="shared" si="58"/>
        <v>0.1151901624778385</v>
      </c>
      <c r="AD223" s="2">
        <f t="shared" si="59"/>
        <v>0.10227444344259566</v>
      </c>
      <c r="AE223" s="2">
        <f t="shared" si="60"/>
        <v>0.10987695088187602</v>
      </c>
      <c r="AF223" s="2">
        <f t="shared" si="61"/>
        <v>0.11908712371493149</v>
      </c>
      <c r="AG223" s="2">
        <f t="shared" si="62"/>
        <v>9.9235315312320327E-2</v>
      </c>
      <c r="AH223" s="2">
        <f t="shared" si="63"/>
        <v>0.1199891551819615</v>
      </c>
      <c r="AI223" s="2">
        <f t="shared" si="64"/>
        <v>0.10099811712417744</v>
      </c>
      <c r="AJ223" s="2">
        <f>0.0180405864915138*(8350/2783.333)</f>
        <v>5.4121765956190136E-2</v>
      </c>
      <c r="AK223" s="2">
        <f>0.000599551179606411*(8350/2783.333)</f>
        <v>1.798653754226869E-3</v>
      </c>
      <c r="AL223" s="2">
        <f>0.073007604578261*(8350/2783.333)</f>
        <v>0.21902283996506322</v>
      </c>
      <c r="AM223" s="2">
        <f>0.0684117985877669*(8350/2783.333)</f>
        <v>0.20523542034239303</v>
      </c>
      <c r="AN223" s="2">
        <f>0.128880319726201*(8350/2783.333)</f>
        <v>0.38664100548291441</v>
      </c>
      <c r="AO223" s="2">
        <f>0.0235798814088096*(8350/2783.333)</f>
        <v>7.0739652698243491E-2</v>
      </c>
      <c r="AP223" s="2">
        <f>0.0644685921507428*(8350/2783.333)</f>
        <v>0.19340579961459953</v>
      </c>
      <c r="AQ223" s="2">
        <f>0.0929976196692792*(8350/2783.333)</f>
        <v>0.27899289242016012</v>
      </c>
      <c r="AR223" s="2">
        <f>0.156479795589345*(8350/2783.333)</f>
        <v>0.46943944298832729</v>
      </c>
      <c r="AS223" s="2">
        <f>0.134736404940575*(8350/2783.333)</f>
        <v>0.40420926323001971</v>
      </c>
      <c r="AT223" s="2">
        <f>0.191493927334354*(8350/2783.333)</f>
        <v>0.57448185080328273</v>
      </c>
      <c r="AU223" s="2">
        <f>0.150272134149905*(8350/2783.333)</f>
        <v>0.45081645643970886</v>
      </c>
      <c r="AV223" s="2">
        <f>0.146066483658925*(8350/2783.333)</f>
        <v>0.43819950345575803</v>
      </c>
      <c r="AW223" s="2">
        <f>0.129009866085349*(8350/2783.333)</f>
        <v>0.38702964460690381</v>
      </c>
    </row>
    <row r="224" spans="1:49" x14ac:dyDescent="0.25">
      <c r="A224" s="5">
        <v>45846</v>
      </c>
      <c r="B224" s="2">
        <f>0.373567926048999*(8350/2783.333)</f>
        <v>1.1207039123630336</v>
      </c>
      <c r="C224" s="2">
        <f>0.363316446501678*(8350/2783.333)</f>
        <v>1.0899494700379042</v>
      </c>
      <c r="D224" s="2">
        <f>0.301233647757145*(8350/2783.333)</f>
        <v>0.9037010514991044</v>
      </c>
      <c r="E224" s="2">
        <f>0.335419456243339*(8350/2783.333)</f>
        <v>1.0062584892400159</v>
      </c>
      <c r="F224" s="2">
        <f>0.293713591018254*(8350/2783.333)</f>
        <v>0.88114087858061685</v>
      </c>
      <c r="G224" s="2">
        <f>0.314603881020226*(8350/2783.333)</f>
        <v>0.94381175609202506</v>
      </c>
      <c r="H224" s="2">
        <f>0.315626015983644*(8350/2783.333)</f>
        <v>0.94687816134951297</v>
      </c>
      <c r="I224" s="2">
        <f>0.292173939237339*(8350/2783.333)</f>
        <v>0.87652192268470264</v>
      </c>
      <c r="J224" s="2">
        <f>0.252719566624073*(8350/2783.333)</f>
        <v>0.75815879066967917</v>
      </c>
      <c r="K224" s="2">
        <f>0.29017414884662*(8350/2783.333)</f>
        <v>0.87052255079405794</v>
      </c>
      <c r="L224" s="2">
        <f>0.234238301314037*(8350/2783.333)</f>
        <v>0.70271498809959521</v>
      </c>
      <c r="M224" s="2">
        <f>0.231290142820413*(8350/2783.333)</f>
        <v>0.69387051155950286</v>
      </c>
      <c r="N224" s="2">
        <f>0.198968092506998*(8350/2783.333)</f>
        <v>0.59690434900654565</v>
      </c>
      <c r="O224" s="2">
        <f>0.260656119215343*(8350/2783.333)</f>
        <v>0.78196845129494497</v>
      </c>
      <c r="P224" s="2">
        <f>0.348733974577492*(8350/2783.333)</f>
        <v>1.0462020490261348</v>
      </c>
      <c r="Q224" s="2">
        <f>0.213662089676645*(8350/2783.333)</f>
        <v>0.64098634579476621</v>
      </c>
      <c r="R224" s="2">
        <f>0.0673650685324143*(8350/2783.333)</f>
        <v>0.20209522980026437</v>
      </c>
      <c r="S224" s="2">
        <f>0.00215714301854155*(8350/2783.333)</f>
        <v>6.4714298306461871E-3</v>
      </c>
      <c r="T224" s="2">
        <f t="shared" si="49"/>
        <v>0.10069243236843764</v>
      </c>
      <c r="U224" s="2">
        <f t="shared" si="50"/>
        <v>0.11437794326585224</v>
      </c>
      <c r="V224" s="2">
        <f t="shared" si="51"/>
        <v>0.11043877033537902</v>
      </c>
      <c r="W224" s="2">
        <f t="shared" si="52"/>
        <v>0.10705744606724045</v>
      </c>
      <c r="X224" s="2">
        <f t="shared" si="53"/>
        <v>0.11728533803050227</v>
      </c>
      <c r="Y224" s="2">
        <f t="shared" si="54"/>
        <v>0.10928020503416074</v>
      </c>
      <c r="Z224" s="2">
        <f t="shared" si="55"/>
        <v>0.10579568013572224</v>
      </c>
      <c r="AA224" s="2">
        <f t="shared" si="56"/>
        <v>0.11798772791544039</v>
      </c>
      <c r="AB224" s="2">
        <f t="shared" si="57"/>
        <v>0.10026757173055721</v>
      </c>
      <c r="AC224" s="2">
        <f t="shared" si="58"/>
        <v>0.1151901624778385</v>
      </c>
      <c r="AD224" s="2">
        <f t="shared" si="59"/>
        <v>0.10227444344259566</v>
      </c>
      <c r="AE224" s="2">
        <f t="shared" si="60"/>
        <v>0.10987695088187602</v>
      </c>
      <c r="AF224" s="2">
        <f t="shared" si="61"/>
        <v>0.11908712371493149</v>
      </c>
      <c r="AG224" s="2">
        <f t="shared" si="62"/>
        <v>9.9235315312320327E-2</v>
      </c>
      <c r="AH224" s="2">
        <f t="shared" si="63"/>
        <v>0.1199891551819615</v>
      </c>
      <c r="AI224" s="2">
        <f t="shared" si="64"/>
        <v>0.10099811712417744</v>
      </c>
      <c r="AJ224" s="2">
        <f>0.414781887737663*(8350/2783.333)</f>
        <v>1.2443458122364388</v>
      </c>
      <c r="AK224" s="2">
        <f>0.834575242012125*(8350/2783.333)</f>
        <v>2.5037260258838017</v>
      </c>
      <c r="AL224" s="2">
        <f>0.380559324652038*(8350/2783.333)</f>
        <v>1.1416781106840306</v>
      </c>
      <c r="AM224" s="2">
        <f>0.185405888926267*(8350/2783.333)</f>
        <v>0.55621773339170288</v>
      </c>
      <c r="AN224" s="2">
        <f>0.157140823569777*(8350/2783.333)</f>
        <v>0.47142252716711958</v>
      </c>
      <c r="AO224" s="2">
        <f>0.0432795291680682*(8350/2783.333)</f>
        <v>0.12983860305373801</v>
      </c>
      <c r="AP224" s="2">
        <f>0.151093057056133*(8350/2783.333)</f>
        <v>0.45327922545333765</v>
      </c>
      <c r="AQ224" s="2">
        <f>0.199377410474939*(8350/2783.333)</f>
        <v>0.59813230305742904</v>
      </c>
      <c r="AR224" s="2">
        <f>0.255627223483638*(8350/2783.333)</f>
        <v>0.76688176229303995</v>
      </c>
      <c r="AS224" s="2">
        <f>0.296645187488497*(8350/2783.333)</f>
        <v>0.88993566904461385</v>
      </c>
      <c r="AT224" s="2">
        <f>0.29855346033892*(8350/2783.333)</f>
        <v>0.89566048828148848</v>
      </c>
      <c r="AU224" s="2">
        <f>0.271684057105457*(8350/2783.333)</f>
        <v>0.81505226892742022</v>
      </c>
      <c r="AV224" s="2">
        <f>0.309791057601114*(8350/2783.333)</f>
        <v>0.92937328410553144</v>
      </c>
      <c r="AW224" s="2">
        <f>0.412831571473118*(8350/2783.333)</f>
        <v>1.2384948627420933</v>
      </c>
    </row>
    <row r="225" spans="1:49" x14ac:dyDescent="0.25">
      <c r="A225" s="5">
        <v>45847</v>
      </c>
      <c r="B225" s="2">
        <f>1.37799868721324*(8350/2783.333)</f>
        <v>4.1339965567291399</v>
      </c>
      <c r="C225" s="2">
        <f>2.07801628925034*(8350/2783.333)</f>
        <v>6.2340496143437791</v>
      </c>
      <c r="D225" s="2">
        <f>1.69160297779467*(8350/2783.333)</f>
        <v>5.0748095411456191</v>
      </c>
      <c r="E225" s="2">
        <f>2.00093457391572*(8350/2783.333)</f>
        <v>6.0028044406458951</v>
      </c>
      <c r="F225" s="2">
        <f>0.82567889815504*(8350/2783.333)</f>
        <v>2.4770369911162557</v>
      </c>
      <c r="G225" s="2">
        <f>0.255378752816117*(8350/2783.333)</f>
        <v>0.76613635020120729</v>
      </c>
      <c r="H225" s="2">
        <f>0.249253828053649*(8350/2783.333)</f>
        <v>0.74776157371323126</v>
      </c>
      <c r="I225" s="2">
        <f>0.23345955910352*(8350/2783.333)</f>
        <v>0.70037876118825526</v>
      </c>
      <c r="J225" s="2">
        <f>0.202809432776685*(8350/2783.333)</f>
        <v>0.60842837119572935</v>
      </c>
      <c r="K225" s="2">
        <f>0.251414424993461*(8350/2783.333)</f>
        <v>0.75424336530893055</v>
      </c>
      <c r="L225" s="2">
        <f>0.226749332533127*(8350/2783.333)</f>
        <v>0.68024807906621598</v>
      </c>
      <c r="M225" s="2">
        <f>0.317197910153709*(8350/2783.333)</f>
        <v>0.95159384442446038</v>
      </c>
      <c r="N225" s="2">
        <f>0.360900540072099*(8350/2783.333)</f>
        <v>1.0827017498811786</v>
      </c>
      <c r="O225" s="2">
        <f>0.511547023589765*(8350/2783.333)</f>
        <v>1.5346412545586678</v>
      </c>
      <c r="P225" s="2">
        <f>0.363390285004729*(8350/2783.333)</f>
        <v>1.0901709855735864</v>
      </c>
      <c r="Q225" s="2">
        <f>0.18630579563416*(8350/2783.333)</f>
        <v>0.55891745383870317</v>
      </c>
      <c r="R225" s="2">
        <f>0.0383348180046335*(8350/2783.333)</f>
        <v>0.11500446778689079</v>
      </c>
      <c r="S225" s="2">
        <f>0.0161785726390616*(8350/2783.333)</f>
        <v>4.8535723729846381E-2</v>
      </c>
      <c r="T225" s="2">
        <f t="shared" si="49"/>
        <v>0.10069243236843764</v>
      </c>
      <c r="U225" s="2">
        <f t="shared" si="50"/>
        <v>0.11437794326585224</v>
      </c>
      <c r="V225" s="2">
        <f t="shared" si="51"/>
        <v>0.11043877033537902</v>
      </c>
      <c r="W225" s="2">
        <f t="shared" si="52"/>
        <v>0.10705744606724045</v>
      </c>
      <c r="X225" s="2">
        <f t="shared" si="53"/>
        <v>0.11728533803050227</v>
      </c>
      <c r="Y225" s="2">
        <f t="shared" si="54"/>
        <v>0.10928020503416074</v>
      </c>
      <c r="Z225" s="2">
        <f t="shared" si="55"/>
        <v>0.10579568013572224</v>
      </c>
      <c r="AA225" s="2">
        <f t="shared" si="56"/>
        <v>0.11798772791544039</v>
      </c>
      <c r="AB225" s="2">
        <f t="shared" si="57"/>
        <v>0.10026757173055721</v>
      </c>
      <c r="AC225" s="2">
        <f t="shared" si="58"/>
        <v>0.1151901624778385</v>
      </c>
      <c r="AD225" s="2">
        <f t="shared" si="59"/>
        <v>0.10227444344259566</v>
      </c>
      <c r="AE225" s="2">
        <f t="shared" si="60"/>
        <v>0.10987695088187602</v>
      </c>
      <c r="AF225" s="2">
        <f t="shared" si="61"/>
        <v>0.11908712371493149</v>
      </c>
      <c r="AG225" s="2">
        <f t="shared" si="62"/>
        <v>9.9235315312320327E-2</v>
      </c>
      <c r="AH225" s="2">
        <f t="shared" si="63"/>
        <v>0.1199891551819615</v>
      </c>
      <c r="AI225" s="2">
        <f t="shared" si="64"/>
        <v>0.10099811712417744</v>
      </c>
      <c r="AJ225" s="2">
        <f>0.0112185159695128*(8350/2783.333)</f>
        <v>3.3655551939143456E-2</v>
      </c>
      <c r="AK225" s="2">
        <f>0.0698477124241469*(8350/2783.333)</f>
        <v>0.20954316236743026</v>
      </c>
      <c r="AL225" s="2">
        <f>0.00402404119722698*(8350/2783.333)</f>
        <v>1.2072125037444431E-2</v>
      </c>
      <c r="AM225" s="2">
        <f>0*(8350/2783.333)</f>
        <v>0</v>
      </c>
      <c r="AN225" s="2">
        <f>0*(8350/2783.333)</f>
        <v>0</v>
      </c>
      <c r="AO225" s="2">
        <f>0.000149239755751959*(8350/2783.333)</f>
        <v>4.4771932087495851E-4</v>
      </c>
      <c r="AP225" s="2">
        <f>0.0301519772074533*(8350/2783.333)</f>
        <v>9.0455942455407015E-2</v>
      </c>
      <c r="AQ225" s="2">
        <f>0.0625065968268926*(8350/2783.333)</f>
        <v>0.18751981293814041</v>
      </c>
      <c r="AR225" s="2">
        <f>0.0931038449748712*(8350/2783.333)</f>
        <v>0.27931156837510085</v>
      </c>
      <c r="AS225" s="2">
        <f>0.139399120624676*(8350/2783.333)</f>
        <v>0.41819741195755039</v>
      </c>
      <c r="AT225" s="2">
        <f>0.157392269041935*(8350/2783.333)</f>
        <v>0.47217686367393152</v>
      </c>
      <c r="AU225" s="2">
        <f>0.137334798097264*(8350/2783.333)</f>
        <v>0.41200444363364092</v>
      </c>
      <c r="AV225" s="2">
        <f>0.162640305240585*(8350/2783.333)</f>
        <v>0.48792097415540397</v>
      </c>
      <c r="AW225" s="2">
        <f>0.197400638467944*(8350/2783.333)</f>
        <v>0.59220198632622678</v>
      </c>
    </row>
    <row r="226" spans="1:49" x14ac:dyDescent="0.25">
      <c r="A226" s="5">
        <v>45848</v>
      </c>
      <c r="B226" s="2">
        <f>0.476766065620035*(8350/2783.333)</f>
        <v>1.4302983681533223</v>
      </c>
      <c r="C226" s="2">
        <f>0.439247661511288*(8350/2783.333)</f>
        <v>1.3177431423474133</v>
      </c>
      <c r="D226" s="2">
        <f>0.257417844447014*(8350/2783.333)</f>
        <v>0.77225362582650725</v>
      </c>
      <c r="E226" s="2">
        <f>0.330786590825613*(8350/2783.333)</f>
        <v>0.99235989132233582</v>
      </c>
      <c r="F226" s="2">
        <f>0.261686311146583*(8350/2783.333)</f>
        <v>0.78505902745879408</v>
      </c>
      <c r="G226" s="2">
        <f>0.291861431789848*(8350/2783.333)</f>
        <v>0.87558440022995132</v>
      </c>
      <c r="H226" s="2">
        <f>0.277903693347172*(8350/2783.333)</f>
        <v>0.83371117988716636</v>
      </c>
      <c r="I226" s="2">
        <f>0.278194324919763*(8350/2783.333)</f>
        <v>0.83458307470935778</v>
      </c>
      <c r="J226" s="2">
        <f>0.222218929272892*(8350/2783.333)</f>
        <v>0.66665686765782151</v>
      </c>
      <c r="K226" s="2">
        <f>0.291745489002829*(8350/2783.333)</f>
        <v>0.87523657182723902</v>
      </c>
      <c r="L226" s="2">
        <f>0.262529961153033*(8350/2783.333)</f>
        <v>0.78758997778125106</v>
      </c>
      <c r="M226" s="2">
        <f>0.384161913408381*(8350/2783.333)</f>
        <v>1.1524858782474026</v>
      </c>
      <c r="N226" s="2">
        <f>0.162720440010674*(8350/2783.333)</f>
        <v>0.48816137849446167</v>
      </c>
      <c r="O226" s="2">
        <f>0.0687320890726337*(8350/2783.333)</f>
        <v>0.2061962919120677</v>
      </c>
      <c r="P226" s="2">
        <f>0.298730091943389*(8350/2783.333)</f>
        <v>0.89619038315835742</v>
      </c>
      <c r="Q226" s="2">
        <f>0.289599388656644*(8350/2783.333)</f>
        <v>0.86879827001762988</v>
      </c>
      <c r="R226" s="2">
        <f>0.0174925868564833*(8350/2783.333)</f>
        <v>5.2477766854212307E-2</v>
      </c>
      <c r="S226" s="2">
        <f>0.0100153068718001*(8350/2783.333)</f>
        <v>3.004592421371443E-2</v>
      </c>
      <c r="T226" s="2">
        <f t="shared" si="49"/>
        <v>0.10069243236843764</v>
      </c>
      <c r="U226" s="2">
        <f t="shared" si="50"/>
        <v>0.11437794326585224</v>
      </c>
      <c r="V226" s="2">
        <f t="shared" si="51"/>
        <v>0.11043877033537902</v>
      </c>
      <c r="W226" s="2">
        <f t="shared" si="52"/>
        <v>0.10705744606724045</v>
      </c>
      <c r="X226" s="2">
        <f t="shared" si="53"/>
        <v>0.11728533803050227</v>
      </c>
      <c r="Y226" s="2">
        <f t="shared" si="54"/>
        <v>0.10928020503416074</v>
      </c>
      <c r="Z226" s="2">
        <f t="shared" si="55"/>
        <v>0.10579568013572224</v>
      </c>
      <c r="AA226" s="2">
        <f t="shared" si="56"/>
        <v>0.11798772791544039</v>
      </c>
      <c r="AB226" s="2">
        <f t="shared" si="57"/>
        <v>0.10026757173055721</v>
      </c>
      <c r="AC226" s="2">
        <f t="shared" si="58"/>
        <v>0.1151901624778385</v>
      </c>
      <c r="AD226" s="2">
        <f t="shared" si="59"/>
        <v>0.10227444344259566</v>
      </c>
      <c r="AE226" s="2">
        <f t="shared" si="60"/>
        <v>0.10987695088187602</v>
      </c>
      <c r="AF226" s="2">
        <f t="shared" si="61"/>
        <v>0.11908712371493149</v>
      </c>
      <c r="AG226" s="2">
        <f t="shared" si="62"/>
        <v>9.9235315312320327E-2</v>
      </c>
      <c r="AH226" s="2">
        <f t="shared" si="63"/>
        <v>0.1199891551819615</v>
      </c>
      <c r="AI226" s="2">
        <f t="shared" si="64"/>
        <v>0.10099811712417744</v>
      </c>
      <c r="AJ226" s="2">
        <f>0*(8350/2783.333)</f>
        <v>0</v>
      </c>
      <c r="AK226" s="2">
        <f>0.033574866057959*(8350/2783.333)</f>
        <v>0.1007246102367047</v>
      </c>
      <c r="AL226" s="2">
        <f>0.0275934253524136*(8350/2783.333)</f>
        <v>8.2780285971047557E-2</v>
      </c>
      <c r="AM226" s="2">
        <f>0.0234649164238234*(8350/2783.333)</f>
        <v>7.0394757701980226E-2</v>
      </c>
      <c r="AN226" s="2">
        <f>0.0773281918357205*(8350/2783.333)</f>
        <v>0.2319846032897486</v>
      </c>
      <c r="AO226" s="2">
        <f>0.00208935658052743*(8350/2783.333)</f>
        <v>6.2680704922494198E-3</v>
      </c>
      <c r="AP226" s="2">
        <f>0.0464773571319308*(8350/2783.333)</f>
        <v>0.13943208809424618</v>
      </c>
      <c r="AQ226" s="2">
        <f>0.00169394571346592*(8350/2783.333)</f>
        <v>5.0818377490010952E-3</v>
      </c>
      <c r="AR226" s="2">
        <f>0.0233576312831694*(8350/2783.333)</f>
        <v>7.0072902241472654E-2</v>
      </c>
      <c r="AS226" s="2">
        <f>0.0701015185609674*(8350/2783.333)</f>
        <v>0.21030458086907955</v>
      </c>
      <c r="AT226" s="2">
        <f>0.08623784741256*(8350/2783.333)</f>
        <v>0.25871357322134159</v>
      </c>
      <c r="AU226" s="2">
        <f>0.100679012614782*(8350/2783.333)</f>
        <v>0.30203707401644947</v>
      </c>
      <c r="AV226" s="2">
        <f>0.192999828885494*(8350/2783.333)</f>
        <v>0.57899955599774655</v>
      </c>
      <c r="AW226" s="2">
        <f>0.107715466502587*(8350/2783.333)</f>
        <v>0.32314643820793321</v>
      </c>
    </row>
    <row r="227" spans="1:49" x14ac:dyDescent="0.25">
      <c r="A227" s="5">
        <v>45849</v>
      </c>
      <c r="B227" s="2">
        <f>0.29558562148627*(8350/2783.333)</f>
        <v>0.88675697065725068</v>
      </c>
      <c r="C227" s="2">
        <f>0.288346386112443*(8350/2783.333)</f>
        <v>0.86503926193484471</v>
      </c>
      <c r="D227" s="2">
        <f>0.229641754848628*(8350/2783.333)</f>
        <v>0.68892534705191455</v>
      </c>
      <c r="E227" s="2">
        <f>0.273802346187587*(8350/2783.333)</f>
        <v>0.82140713693487466</v>
      </c>
      <c r="F227" s="2">
        <f>0.202318670408851*(8350/2783.333)</f>
        <v>0.60695608391590372</v>
      </c>
      <c r="G227" s="2">
        <f>0.228372094355043*(8350/2783.333)</f>
        <v>0.68511636511499452</v>
      </c>
      <c r="H227" s="2">
        <f>0.222036456024802*(8350/2783.333)</f>
        <v>0.66610944784799342</v>
      </c>
      <c r="I227" s="2">
        <f>0.222741854793378*(8350/2783.333)</f>
        <v>0.66822564440715726</v>
      </c>
      <c r="J227" s="2">
        <f>0.183796048453871*(8350/2783.333)</f>
        <v>0.55138821139612992</v>
      </c>
      <c r="K227" s="2">
        <f>0.238319923691719*(8350/2783.333)</f>
        <v>0.71495985669909068</v>
      </c>
      <c r="L227" s="2">
        <f>0.283332652211118*(8350/2783.333)</f>
        <v>0.84999805842952836</v>
      </c>
      <c r="M227" s="2">
        <f>0.582410607254448*(8350/2783.333)</f>
        <v>1.7472320310126905</v>
      </c>
      <c r="N227" s="2">
        <f>0.305347072659254*(8350/2783.333)</f>
        <v>0.9160413276833117</v>
      </c>
      <c r="O227" s="2">
        <f>0.241501274719691*(8350/2783.333)</f>
        <v>0.72450391092600841</v>
      </c>
      <c r="P227" s="2">
        <f>0.0655223289688242*(8350/2783.333)</f>
        <v>0.19656701044743194</v>
      </c>
      <c r="Q227" s="2">
        <f>0.0292429350109315*(8350/2783.333)</f>
        <v>8.7728815539239502E-2</v>
      </c>
      <c r="R227" s="2">
        <f>0.0294024332268548*(8350/2783.333)</f>
        <v>8.8207310244314274E-2</v>
      </c>
      <c r="S227" s="2">
        <f>0.0143295929088831*(8350/2783.333)</f>
        <v>4.2988783875006799E-2</v>
      </c>
      <c r="T227" s="2">
        <f t="shared" si="49"/>
        <v>0.10069243236843764</v>
      </c>
      <c r="U227" s="2">
        <f t="shared" si="50"/>
        <v>0.11437794326585224</v>
      </c>
      <c r="V227" s="2">
        <f t="shared" si="51"/>
        <v>0.11043877033537902</v>
      </c>
      <c r="W227" s="2">
        <f t="shared" si="52"/>
        <v>0.10705744606724045</v>
      </c>
      <c r="X227" s="2">
        <f t="shared" si="53"/>
        <v>0.11728533803050227</v>
      </c>
      <c r="Y227" s="2">
        <f t="shared" si="54"/>
        <v>0.10928020503416074</v>
      </c>
      <c r="Z227" s="2">
        <f t="shared" si="55"/>
        <v>0.10579568013572224</v>
      </c>
      <c r="AA227" s="2">
        <f t="shared" si="56"/>
        <v>0.11798772791544039</v>
      </c>
      <c r="AB227" s="2">
        <f t="shared" si="57"/>
        <v>0.10026757173055721</v>
      </c>
      <c r="AC227" s="2">
        <f t="shared" si="58"/>
        <v>0.1151901624778385</v>
      </c>
      <c r="AD227" s="2">
        <f t="shared" si="59"/>
        <v>0.10227444344259566</v>
      </c>
      <c r="AE227" s="2">
        <f t="shared" si="60"/>
        <v>0.10987695088187602</v>
      </c>
      <c r="AF227" s="2">
        <f t="shared" si="61"/>
        <v>0.11908712371493149</v>
      </c>
      <c r="AG227" s="2">
        <f t="shared" si="62"/>
        <v>9.9235315312320327E-2</v>
      </c>
      <c r="AH227" s="2">
        <f t="shared" si="63"/>
        <v>0.1199891551819615</v>
      </c>
      <c r="AI227" s="2">
        <f t="shared" si="64"/>
        <v>0.10099811712417744</v>
      </c>
      <c r="AJ227" s="2">
        <f>0.000151601567155579*(8350/2783.333)</f>
        <v>4.5480475593437099E-4</v>
      </c>
      <c r="AK227" s="2">
        <f>0*(8350/2783.333)</f>
        <v>0</v>
      </c>
      <c r="AL227" s="2">
        <f>0*(8350/2783.333)</f>
        <v>0</v>
      </c>
      <c r="AM227" s="2">
        <f>0.00429639314802401*(8350/2783.333)</f>
        <v>1.2889180987686518E-2</v>
      </c>
      <c r="AN227" s="2">
        <f>0.169873578048751*(8350/2783.333)</f>
        <v>0.50962079517868453</v>
      </c>
      <c r="AO227" s="2">
        <f>0.100139876109565*(8350/2783.333)</f>
        <v>0.30041966430709732</v>
      </c>
      <c r="AP227" s="2">
        <f>0*(8350/2783.333)</f>
        <v>0</v>
      </c>
      <c r="AQ227" s="2">
        <f>0.00186334028481252*(8350/2783.333)</f>
        <v>5.5900215239012034E-3</v>
      </c>
      <c r="AR227" s="2">
        <f>0.0525955054068571*(8350/2783.333)</f>
        <v>0.15778653511716226</v>
      </c>
      <c r="AS227" s="2">
        <f>0.155799017168755*(8350/2783.333)</f>
        <v>0.46739710748196794</v>
      </c>
      <c r="AT227" s="2">
        <f>0.160671274646975*(8350/2783.333)</f>
        <v>0.48201388166713804</v>
      </c>
      <c r="AU227" s="2">
        <f>0.131695446484574*(8350/2783.333)</f>
        <v>0.39508638676945779</v>
      </c>
      <c r="AV227" s="2">
        <f>0.0989782429035559*(8350/2783.333)</f>
        <v>0.29693476427171733</v>
      </c>
      <c r="AW227" s="2">
        <f>0.113000208004878*(8350/2783.333)</f>
        <v>0.33900066461351686</v>
      </c>
    </row>
    <row r="228" spans="1:49" x14ac:dyDescent="0.25">
      <c r="A228" s="5">
        <v>45850</v>
      </c>
      <c r="B228" s="2">
        <f>0.40765599930097*(8350/2783.333)</f>
        <v>1.2229681443661611</v>
      </c>
      <c r="C228" s="2">
        <f>0.344573931404369*(8350/2783.333)</f>
        <v>1.0337219180121393</v>
      </c>
      <c r="D228" s="2">
        <f>0.237857217969278*(8350/2783.333)</f>
        <v>0.71357173936552676</v>
      </c>
      <c r="E228" s="2">
        <f>0.277045351979996*(8350/2783.333)</f>
        <v>0.83113615547725084</v>
      </c>
      <c r="F228" s="2">
        <f>0.23356479711292*(8350/2783.333)</f>
        <v>0.70069447525426753</v>
      </c>
      <c r="G228" s="2">
        <f>0.238321915893334*(8350/2783.333)</f>
        <v>0.71496583330465202</v>
      </c>
      <c r="H228" s="2">
        <f>0.234928895406888*(8350/2783.333)</f>
        <v>0.70478677062626405</v>
      </c>
      <c r="I228" s="2">
        <f>0.212956124771075*(8350/2783.333)</f>
        <v>0.63886845082441668</v>
      </c>
      <c r="J228" s="2">
        <f>0.167951561518193*(8350/2783.333)</f>
        <v>0.50385474489646376</v>
      </c>
      <c r="K228" s="2">
        <f>0.241462604004137*(8350/2783.333)</f>
        <v>0.72438789876545184</v>
      </c>
      <c r="L228" s="2">
        <f>0.183895788953472*(8350/2783.333)</f>
        <v>0.55168743293076572</v>
      </c>
      <c r="M228" s="2">
        <f>0.153752875893951*(8350/2783.333)</f>
        <v>0.46125868292241234</v>
      </c>
      <c r="N228" s="2">
        <f>0.0981050594737476*(8350/2783.333)</f>
        <v>0.29431521366857377</v>
      </c>
      <c r="O228" s="2">
        <f>0.219341748734525*(8350/2783.333)</f>
        <v>0.65802532500900279</v>
      </c>
      <c r="P228" s="2">
        <f>0.0198291258721442*(8350/2783.333)</f>
        <v>5.9487384740670168E-2</v>
      </c>
      <c r="Q228" s="2">
        <f>0.0202813904108073*(8350/2783.333)</f>
        <v>6.0844178519149986E-2</v>
      </c>
      <c r="R228" s="2">
        <f>0.0305189813240772*(8350/2783.333)</f>
        <v>9.1556954937136351E-2</v>
      </c>
      <c r="S228" s="2">
        <f>0.00200306137436001*(8350/2783.333)</f>
        <v>6.0091848427428858E-3</v>
      </c>
      <c r="T228" s="2">
        <f t="shared" si="49"/>
        <v>0.10069243236843764</v>
      </c>
      <c r="U228" s="2">
        <f t="shared" si="50"/>
        <v>0.11437794326585224</v>
      </c>
      <c r="V228" s="2">
        <f t="shared" si="51"/>
        <v>0.11043877033537902</v>
      </c>
      <c r="W228" s="2">
        <f t="shared" si="52"/>
        <v>0.10705744606724045</v>
      </c>
      <c r="X228" s="2">
        <f t="shared" si="53"/>
        <v>0.11728533803050227</v>
      </c>
      <c r="Y228" s="2">
        <f t="shared" si="54"/>
        <v>0.10928020503416074</v>
      </c>
      <c r="Z228" s="2">
        <f t="shared" si="55"/>
        <v>0.10579568013572224</v>
      </c>
      <c r="AA228" s="2">
        <f t="shared" si="56"/>
        <v>0.11798772791544039</v>
      </c>
      <c r="AB228" s="2">
        <f t="shared" si="57"/>
        <v>0.10026757173055721</v>
      </c>
      <c r="AC228" s="2">
        <f t="shared" si="58"/>
        <v>0.1151901624778385</v>
      </c>
      <c r="AD228" s="2">
        <f t="shared" si="59"/>
        <v>0.10227444344259566</v>
      </c>
      <c r="AE228" s="2">
        <f t="shared" si="60"/>
        <v>0.10987695088187602</v>
      </c>
      <c r="AF228" s="2">
        <f t="shared" si="61"/>
        <v>0.11908712371493149</v>
      </c>
      <c r="AG228" s="2">
        <f t="shared" si="62"/>
        <v>9.9235315312320327E-2</v>
      </c>
      <c r="AH228" s="2">
        <f t="shared" si="63"/>
        <v>0.1199891551819615</v>
      </c>
      <c r="AI228" s="2">
        <f t="shared" si="64"/>
        <v>0.10099811712417744</v>
      </c>
      <c r="AJ228" s="2">
        <f>0*(8350/2783.333)</f>
        <v>0</v>
      </c>
      <c r="AK228" s="2">
        <f>0.000599551179606411*(8350/2783.333)</f>
        <v>1.798653754226869E-3</v>
      </c>
      <c r="AL228" s="2">
        <f>0.196603155635947*(8350/2783.333)</f>
        <v>0.58980953754371368</v>
      </c>
      <c r="AM228" s="2">
        <f>0.116333106777265*(8350/2783.333)</f>
        <v>0.34899936212812699</v>
      </c>
      <c r="AN228" s="2">
        <f>0*(8350/2783.333)</f>
        <v>0</v>
      </c>
      <c r="AO228" s="2">
        <f>0.0595466625450318*(8350/2783.333)</f>
        <v>0.17864000902910848</v>
      </c>
      <c r="AP228" s="2">
        <f>0.0294856351697196*(8350/2783.333)</f>
        <v>8.8456916102801333E-2</v>
      </c>
      <c r="AQ228" s="2">
        <f>0.112986179088177*(8350/2783.333)</f>
        <v>0.33895857785837297</v>
      </c>
      <c r="AR228" s="2">
        <f>0.109601192944103*(8350/2783.333)</f>
        <v>0.32880361820998694</v>
      </c>
      <c r="AS228" s="2">
        <f>0.173163613509546*(8350/2783.333)</f>
        <v>0.51949090274311593</v>
      </c>
      <c r="AT228" s="2">
        <f>0.133783428685644*(8350/2783.333)</f>
        <v>0.40135033412284177</v>
      </c>
      <c r="AU228" s="2">
        <f>0.119421563562838*(8350/2783.333)</f>
        <v>0.35826473359447042</v>
      </c>
      <c r="AV228" s="2">
        <f>0.109820929919595*(8350/2783.333)</f>
        <v>0.32946282921541092</v>
      </c>
      <c r="AW228" s="2">
        <f>0.11144587226891*(8350/2783.333)</f>
        <v>0.33433765684716882</v>
      </c>
    </row>
    <row r="229" spans="1:49" x14ac:dyDescent="0.25">
      <c r="A229" s="5">
        <v>45851</v>
      </c>
      <c r="B229" s="2">
        <f>0.343215532057518*(8350/2783.333)</f>
        <v>1.029646719483537</v>
      </c>
      <c r="C229" s="2">
        <f>0.293152159214317*(8350/2783.333)</f>
        <v>0.87945658296709239</v>
      </c>
      <c r="D229" s="2">
        <f>0.206951428134454*(8350/2783.333)</f>
        <v>0.62085435875717654</v>
      </c>
      <c r="E229" s="2">
        <f>0.267316334602772*(8350/2783.333)</f>
        <v>0.80194909985012353</v>
      </c>
      <c r="F229" s="2">
        <f>0.234736526864323*(8350/2783.333)</f>
        <v>0.70420966492945547</v>
      </c>
      <c r="G229" s="2">
        <f>0.241164722047131*(8350/2783.333)</f>
        <v>0.72349425278741131</v>
      </c>
      <c r="H229" s="2">
        <f>0.233496402142212*(8350/2783.333)</f>
        <v>0.70048929031756746</v>
      </c>
      <c r="I229" s="2">
        <f>0.21016020190756*(8350/2783.333)</f>
        <v>0.63048068122934775</v>
      </c>
      <c r="J229" s="2">
        <f>0.186568833667615*(8350/2783.333)</f>
        <v>0.55970656803357177</v>
      </c>
      <c r="K229" s="2">
        <f>0.228891882754464*(8350/2783.333)</f>
        <v>0.68667573050000574</v>
      </c>
      <c r="L229" s="2">
        <f>0.173494443424429*(8350/2783.333)</f>
        <v>0.52048339260662713</v>
      </c>
      <c r="M229" s="2">
        <f>0.127760269367466*(8350/2783.333)</f>
        <v>0.38328085400429673</v>
      </c>
      <c r="N229" s="2">
        <f>0.278949325732584*(8350/2783.333)</f>
        <v>0.83684807741907741</v>
      </c>
      <c r="O229" s="2">
        <f>0.0567133631145775*(8350/2783.333)</f>
        <v>0.1701401097197936</v>
      </c>
      <c r="P229" s="2">
        <f>0.0379339799293193*(8350/2783.333)</f>
        <v>0.11380195341693426</v>
      </c>
      <c r="Q229" s="2">
        <f>0.000471660242111799*(8350/2783.333)</f>
        <v>1.4149808957941857E-3</v>
      </c>
      <c r="R229" s="2">
        <f>0.0267971543333361*(8350/2783.333)</f>
        <v>8.0391472627729485E-2</v>
      </c>
      <c r="S229" s="2">
        <f>0.000770408220907697*(8350/2783.333)</f>
        <v>2.3112249395164956E-3</v>
      </c>
      <c r="T229" s="2">
        <f t="shared" si="49"/>
        <v>0.10069243236843764</v>
      </c>
      <c r="U229" s="2">
        <f t="shared" si="50"/>
        <v>0.11437794326585224</v>
      </c>
      <c r="V229" s="2">
        <f t="shared" si="51"/>
        <v>0.11043877033537902</v>
      </c>
      <c r="W229" s="2">
        <f t="shared" si="52"/>
        <v>0.10705744606724045</v>
      </c>
      <c r="X229" s="2">
        <f t="shared" si="53"/>
        <v>0.11728533803050227</v>
      </c>
      <c r="Y229" s="2">
        <f t="shared" si="54"/>
        <v>0.10928020503416074</v>
      </c>
      <c r="Z229" s="2">
        <f t="shared" si="55"/>
        <v>0.10579568013572224</v>
      </c>
      <c r="AA229" s="2">
        <f t="shared" si="56"/>
        <v>0.11798772791544039</v>
      </c>
      <c r="AB229" s="2">
        <f t="shared" si="57"/>
        <v>0.10026757173055721</v>
      </c>
      <c r="AC229" s="2">
        <f t="shared" si="58"/>
        <v>0.1151901624778385</v>
      </c>
      <c r="AD229" s="2">
        <f t="shared" si="59"/>
        <v>0.10227444344259566</v>
      </c>
      <c r="AE229" s="2">
        <f t="shared" si="60"/>
        <v>0.10987695088187602</v>
      </c>
      <c r="AF229" s="2">
        <f t="shared" si="61"/>
        <v>0.11908712371493149</v>
      </c>
      <c r="AG229" s="2">
        <f t="shared" si="62"/>
        <v>9.9235315312320327E-2</v>
      </c>
      <c r="AH229" s="2">
        <f t="shared" si="63"/>
        <v>0.1199891551819615</v>
      </c>
      <c r="AI229" s="2">
        <f t="shared" si="64"/>
        <v>0.10099811712417744</v>
      </c>
      <c r="AJ229" s="2">
        <f>0.0180405864915138*(8350/2783.333)</f>
        <v>5.4121765956190136E-2</v>
      </c>
      <c r="AK229" s="2">
        <f>0.018885862157602*(8350/2783.333)</f>
        <v>5.6657593258146385E-2</v>
      </c>
      <c r="AL229" s="2">
        <f>0*(8350/2783.333)</f>
        <v>0</v>
      </c>
      <c r="AM229" s="2">
        <f>0*(8350/2783.333)</f>
        <v>0</v>
      </c>
      <c r="AN229" s="2">
        <f>0*(8350/2783.333)</f>
        <v>0</v>
      </c>
      <c r="AO229" s="2">
        <f>0.00253707584778331*(8350/2783.333)</f>
        <v>7.6112284548743017E-3</v>
      </c>
      <c r="AP229" s="2">
        <f>0*(8350/2783.333)</f>
        <v>0</v>
      </c>
      <c r="AQ229" s="2">
        <f>0.160924842779263*(8350/2783.333)</f>
        <v>0.48277458615510377</v>
      </c>
      <c r="AR229" s="2">
        <f>0.125281840518818*(8350/2783.333)</f>
        <v>0.3758455665678988</v>
      </c>
      <c r="AS229" s="2">
        <f>0.0983993792644772*(8350/2783.333)</f>
        <v>0.29519817314650615</v>
      </c>
      <c r="AT229" s="2">
        <f>0.10820718496633*(8350/2783.333)</f>
        <v>0.32462159377582789</v>
      </c>
      <c r="AU229" s="2">
        <f>0.133685805877288*(8350/2783.333)</f>
        <v>0.40105746566269884</v>
      </c>
      <c r="AV229" s="2">
        <f>0.129337766548465*(8350/2783.333)</f>
        <v>0.38801334611405919</v>
      </c>
      <c r="AW229" s="2">
        <f>0.115020844461637*(8350/2783.333)</f>
        <v>0.34506257470976964</v>
      </c>
    </row>
    <row r="230" spans="1:49" x14ac:dyDescent="0.25">
      <c r="A230" s="5">
        <v>45852</v>
      </c>
      <c r="B230" s="2">
        <f>0.350686890578498*(8350/2783.333)</f>
        <v>1.0520607977307983</v>
      </c>
      <c r="C230" s="2">
        <f>0.32390910706631*(8350/2783.333)</f>
        <v>0.97172743757347491</v>
      </c>
      <c r="D230" s="2">
        <f>0.230424179907738*(8350/2783.333)</f>
        <v>0.69127262251035382</v>
      </c>
      <c r="E230" s="2">
        <f>0.267316334602772*(8350/2783.333)</f>
        <v>0.80194909985012353</v>
      </c>
      <c r="F230" s="2">
        <f>0.227706148355907*(8350/2783.333)</f>
        <v>0.68311852687832419</v>
      </c>
      <c r="G230" s="2">
        <f>0.197575027688907*(8350/2783.333)</f>
        <v>0.59272515405176907</v>
      </c>
      <c r="H230" s="2">
        <f>0.228721424593291*(8350/2783.333)</f>
        <v>0.68616435595524494</v>
      </c>
      <c r="I230" s="2">
        <f>0.223673829081217*(8350/2783.333)</f>
        <v>0.67102156760551424</v>
      </c>
      <c r="J230" s="2">
        <f>0.188153282361183*(8350/2783.333)</f>
        <v>0.56445991468353851</v>
      </c>
      <c r="K230" s="2">
        <f>0.246176624472764*(8350/2783.333)</f>
        <v>0.73852996186499431</v>
      </c>
      <c r="L230" s="2">
        <f>0.246303862127727*(8350/2783.333)</f>
        <v>0.73891167487559573</v>
      </c>
      <c r="M230" s="2">
        <f>0.224681853025544*(8350/2783.333)</f>
        <v>0.67404563980065979</v>
      </c>
      <c r="N230" s="2">
        <f>0.567354560812034*(8350/2783.333)</f>
        <v>1.7020638862760893</v>
      </c>
      <c r="O230" s="2">
        <f>0.452204564171863*(8350/2783.333)</f>
        <v>1.3566138549843145</v>
      </c>
      <c r="P230" s="2">
        <f>0.00862135907484529*(8350/2783.333)</f>
        <v>2.5864080322030525E-2</v>
      </c>
      <c r="Q230" s="2">
        <f>0*(8350/2783.333)</f>
        <v>0</v>
      </c>
      <c r="R230" s="2">
        <f>0.0681094339305625*(8350/2783.333)</f>
        <v>0.20432832626214578</v>
      </c>
      <c r="S230" s="2">
        <f>0.0432969420150125*(8350/2783.333)</f>
        <v>0.12989084160082703</v>
      </c>
      <c r="T230" s="2">
        <f t="shared" si="49"/>
        <v>0.10069243236843764</v>
      </c>
      <c r="U230" s="2">
        <f t="shared" si="50"/>
        <v>0.11437794326585224</v>
      </c>
      <c r="V230" s="2">
        <f t="shared" si="51"/>
        <v>0.11043877033537902</v>
      </c>
      <c r="W230" s="2">
        <f t="shared" si="52"/>
        <v>0.10705744606724045</v>
      </c>
      <c r="X230" s="2">
        <f t="shared" si="53"/>
        <v>0.11728533803050227</v>
      </c>
      <c r="Y230" s="2">
        <f t="shared" si="54"/>
        <v>0.10928020503416074</v>
      </c>
      <c r="Z230" s="2">
        <f t="shared" si="55"/>
        <v>0.10579568013572224</v>
      </c>
      <c r="AA230" s="2">
        <f t="shared" si="56"/>
        <v>0.11798772791544039</v>
      </c>
      <c r="AB230" s="2">
        <f t="shared" si="57"/>
        <v>0.10026757173055721</v>
      </c>
      <c r="AC230" s="2">
        <f t="shared" si="58"/>
        <v>0.1151901624778385</v>
      </c>
      <c r="AD230" s="2">
        <f t="shared" si="59"/>
        <v>0.10227444344259566</v>
      </c>
      <c r="AE230" s="2">
        <f t="shared" si="60"/>
        <v>0.10987695088187602</v>
      </c>
      <c r="AF230" s="2">
        <f t="shared" si="61"/>
        <v>0.11908712371493149</v>
      </c>
      <c r="AG230" s="2">
        <f t="shared" si="62"/>
        <v>9.9235315312320327E-2</v>
      </c>
      <c r="AH230" s="2">
        <f t="shared" si="63"/>
        <v>0.1199891551819615</v>
      </c>
      <c r="AI230" s="2">
        <f t="shared" si="64"/>
        <v>0.10099811712417744</v>
      </c>
      <c r="AJ230" s="2">
        <f>0*(8350/2783.333)</f>
        <v>0</v>
      </c>
      <c r="AK230" s="2">
        <f>0.06265309826887*(8350/2783.333)</f>
        <v>0.18795931731670784</v>
      </c>
      <c r="AL230" s="2">
        <f>0.149751818839661*(8350/2783.333)</f>
        <v>0.44925551032203903</v>
      </c>
      <c r="AM230" s="2">
        <f>0.240598016289344*(8350/2783.333)</f>
        <v>0.7217941353104449</v>
      </c>
      <c r="AN230" s="2">
        <f>0.0844709565434376*(8350/2783.333)</f>
        <v>0.25341289997916316</v>
      </c>
      <c r="AO230" s="2">
        <f>0.00432795291680682*(8350/2783.333)</f>
        <v>1.2983860305373802E-2</v>
      </c>
      <c r="AP230" s="2">
        <f>0.0648017631696096*(8350/2783.333)</f>
        <v>0.19440531279090231</v>
      </c>
      <c r="AQ230" s="2">
        <f>0.0875769933861883*(8350/2783.333)</f>
        <v>0.26273101162335655</v>
      </c>
      <c r="AR230" s="2">
        <f>0.0708895942440247*(8350/2783.333)</f>
        <v>0.21266880820139258</v>
      </c>
      <c r="AS230" s="2">
        <f>0.10595619433871*(8350/2783.333)</f>
        <v>0.31786862108422803</v>
      </c>
      <c r="AT230" s="2">
        <f>0.158375970723447*(8350/2783.333)</f>
        <v>0.47512796907189325</v>
      </c>
      <c r="AU230" s="2">
        <f>0.111957715840161*(8350/2783.333)</f>
        <v>0.33587318774481595</v>
      </c>
      <c r="AV230" s="2">
        <f>0.105019168526778*(8350/2783.333)</f>
        <v>0.3150575433117751</v>
      </c>
      <c r="AW230" s="2">
        <f>0.10320789286828*(8350/2783.333)</f>
        <v>0.30962371568552333</v>
      </c>
    </row>
    <row r="231" spans="1:49" x14ac:dyDescent="0.25">
      <c r="A231" s="5">
        <v>45853</v>
      </c>
      <c r="B231" s="2">
        <f>0.310995298435791*(8350/2783.333)</f>
        <v>0.93298600704222523</v>
      </c>
      <c r="C231" s="2">
        <f>0.310933519691251*(8350/2783.333)</f>
        <v>0.9328006707864076</v>
      </c>
      <c r="D231" s="2">
        <f>0.262503607331226*(8350/2783.333)</f>
        <v>0.78751091630636261</v>
      </c>
      <c r="E231" s="2">
        <f>0.301599538693942*(8350/2783.333)</f>
        <v>0.90479872444095366</v>
      </c>
      <c r="F231" s="2">
        <f>0.253093626302964*(8350/2783.333)</f>
        <v>0.759280969840744</v>
      </c>
      <c r="G231" s="2">
        <f>0.276699798969596*(8350/2783.333)</f>
        <v>0.83009949632190183</v>
      </c>
      <c r="H231" s="2">
        <f>0.26119127192595*(8350/2783.333)</f>
        <v>0.78357390961903772</v>
      </c>
      <c r="I231" s="2">
        <f>0.266078659177864*(8350/2783.333)</f>
        <v>0.79823607313072586</v>
      </c>
      <c r="J231" s="2">
        <f>0.194094964962062*(8350/2783.333)</f>
        <v>0.5822849646209135</v>
      </c>
      <c r="K231" s="2">
        <f>0.265556486399343*(8350/2783.333)</f>
        <v>0.79666955460755795</v>
      </c>
      <c r="L231" s="2">
        <f>0.218844309931054*(8350/2783.333)</f>
        <v>0.65653300841987017</v>
      </c>
      <c r="M231" s="2">
        <f>0.392972966468206*(8350/2783.333)</f>
        <v>1.1789190405925267</v>
      </c>
      <c r="N231" s="2">
        <f>0.304953076436469*(8350/2783.333)</f>
        <v>0.91485933887339821</v>
      </c>
      <c r="O231" s="2">
        <f>0.28732266743478*(8350/2783.333)</f>
        <v>0.86196810553405345</v>
      </c>
      <c r="P231" s="2">
        <f>0.590563096626902*(8350/2783.333)</f>
        <v>1.7716895020590908</v>
      </c>
      <c r="Q231" s="2">
        <f>0.528259471165215*(8350/2783.333)</f>
        <v>1.5847786032894884</v>
      </c>
      <c r="R231" s="2">
        <f>0.151850541222238*(8350/2783.333)</f>
        <v>0.45555167822380033</v>
      </c>
      <c r="S231" s="2">
        <f>0.0121724498903416*(8350/2783.333)</f>
        <v>3.6517354044360614E-2</v>
      </c>
      <c r="T231" s="2">
        <f t="shared" si="49"/>
        <v>0.10069243236843764</v>
      </c>
      <c r="U231" s="2">
        <f t="shared" si="50"/>
        <v>0.11437794326585224</v>
      </c>
      <c r="V231" s="2">
        <f t="shared" si="51"/>
        <v>0.11043877033537902</v>
      </c>
      <c r="W231" s="2">
        <f t="shared" si="52"/>
        <v>0.10705744606724045</v>
      </c>
      <c r="X231" s="2">
        <f t="shared" si="53"/>
        <v>0.11728533803050227</v>
      </c>
      <c r="Y231" s="2">
        <f t="shared" si="54"/>
        <v>0.10928020503416074</v>
      </c>
      <c r="Z231" s="2">
        <f t="shared" si="55"/>
        <v>0.10579568013572224</v>
      </c>
      <c r="AA231" s="2">
        <f t="shared" si="56"/>
        <v>0.11798772791544039</v>
      </c>
      <c r="AB231" s="2">
        <f t="shared" si="57"/>
        <v>0.10026757173055721</v>
      </c>
      <c r="AC231" s="2">
        <f t="shared" si="58"/>
        <v>0.1151901624778385</v>
      </c>
      <c r="AD231" s="2">
        <f t="shared" si="59"/>
        <v>0.10227444344259566</v>
      </c>
      <c r="AE231" s="2">
        <f t="shared" si="60"/>
        <v>0.10987695088187602</v>
      </c>
      <c r="AF231" s="2">
        <f t="shared" si="61"/>
        <v>0.11908712371493149</v>
      </c>
      <c r="AG231" s="2">
        <f t="shared" si="62"/>
        <v>9.9235315312320327E-2</v>
      </c>
      <c r="AH231" s="2">
        <f t="shared" si="63"/>
        <v>0.1199891551819615</v>
      </c>
      <c r="AI231" s="2">
        <f t="shared" si="64"/>
        <v>0.10099811712417744</v>
      </c>
      <c r="AJ231" s="2">
        <f>0.00106121097008905*(8350/2783.333)</f>
        <v>3.183633291540595E-3</v>
      </c>
      <c r="AK231" s="2">
        <f>0.0050961850266545*(8350/2783.333)</f>
        <v>1.5288556910928387E-2</v>
      </c>
      <c r="AL231" s="2">
        <f>0.000287431514087642*(8350/2783.333)</f>
        <v>8.6229464553174557E-4</v>
      </c>
      <c r="AM231" s="2">
        <f>0.0340406534035748*(8350/2783.333)</f>
        <v>0.10212197244090085</v>
      </c>
      <c r="AN231" s="2">
        <f>0.0689432071788351*(8350/2783.333)</f>
        <v>0.20682964630652287</v>
      </c>
      <c r="AO231" s="2">
        <f>0.0986474785520452*(8350/2783.333)</f>
        <v>0.2959424710983477</v>
      </c>
      <c r="AP231" s="2">
        <f>0.0754632357733501*(8350/2783.333)</f>
        <v>0.22638973443259319</v>
      </c>
      <c r="AQ231" s="2">
        <f>0.0604738619707335*(8350/2783.333)</f>
        <v>0.18142160763933912</v>
      </c>
      <c r="AR231" s="2">
        <f>0.0824867398461578*(8350/2783.333)</f>
        <v>0.24746024917443146</v>
      </c>
      <c r="AS231" s="2">
        <f>0.107242460734324*(8350/2783.333)</f>
        <v>0.32172742073320204</v>
      </c>
      <c r="AT231" s="2">
        <f>0.172311744544868*(8350/2783.333)</f>
        <v>0.51693529554302298</v>
      </c>
      <c r="AU231" s="2">
        <f>0.128378180830051*(8350/2783.333)</f>
        <v>0.38513458861405586</v>
      </c>
      <c r="AV231" s="2">
        <f>0.128253497846861*(8350/2783.333)</f>
        <v>0.38476053961968987</v>
      </c>
      <c r="AW231" s="2">
        <f>0.240766605501454*(8350/2783.333)</f>
        <v>0.72229990300734315</v>
      </c>
    </row>
    <row r="232" spans="1:49" x14ac:dyDescent="0.25">
      <c r="A232" s="5">
        <v>45854</v>
      </c>
      <c r="B232" s="2">
        <f>0.429603114956349*(8350/2783.333)</f>
        <v>1.288809499217489</v>
      </c>
      <c r="C232" s="2">
        <f>0.293152159214317*(8350/2783.333)</f>
        <v>0.87945658296709239</v>
      </c>
      <c r="D232" s="2">
        <f>0.235901155321504*(8350/2783.333)</f>
        <v>0.70770355071942825</v>
      </c>
      <c r="E232" s="2">
        <f>0.289554088607855*(8350/2783.333)</f>
        <v>0.86866236985498624</v>
      </c>
      <c r="F232" s="2">
        <f>0.243719788291743*(8350/2783.333)</f>
        <v>0.73115945243923552</v>
      </c>
      <c r="G232" s="2">
        <f>0.261064365123711*(8350/2783.333)</f>
        <v>0.78319318916672531</v>
      </c>
      <c r="H232" s="2">
        <f>0.244478850504729*(8350/2783.333)</f>
        <v>0.73343663935090908</v>
      </c>
      <c r="I232" s="2">
        <f>0.232061597671762*(8350/2783.333)</f>
        <v>0.69618487639072091</v>
      </c>
      <c r="J232" s="2">
        <f>0.198452198869374*(8350/2783.333)</f>
        <v>0.59535666790832176</v>
      </c>
      <c r="K232" s="2">
        <f>0.279174767753156*(8350/2783.333)</f>
        <v>0.8375244035617917</v>
      </c>
      <c r="L232" s="2">
        <f>0.263778122616518*(8350/2783.333)</f>
        <v>0.79133446262014773</v>
      </c>
      <c r="M232" s="2">
        <f>0.291205303627224*(8350/2783.333)</f>
        <v>0.87361601550634504</v>
      </c>
      <c r="N232" s="2">
        <f>0.488161320032021*(8350/2783.333)</f>
        <v>1.4644841354833855</v>
      </c>
      <c r="O232" s="2">
        <f>0.116431407718669*(8350/2783.333)</f>
        <v>0.34929426498765581</v>
      </c>
      <c r="P232" s="2">
        <f>0.353475722068657*(8350/2783.333)</f>
        <v>1.0604272932032517</v>
      </c>
      <c r="Q232" s="2">
        <f>0.0981053303592541*(8350/2783.333)</f>
        <v>0.29431602632519066</v>
      </c>
      <c r="R232" s="2">
        <f>0.049872481675931*(8350/2783.333)</f>
        <v>0.1496174629460521</v>
      </c>
      <c r="S232" s="2">
        <f>0.00446836768126464*(8350/2783.333)</f>
        <v>1.3405104649195667E-2</v>
      </c>
      <c r="T232" s="2">
        <f t="shared" si="49"/>
        <v>0.10069243236843764</v>
      </c>
      <c r="U232" s="2">
        <f t="shared" si="50"/>
        <v>0.11437794326585224</v>
      </c>
      <c r="V232" s="2">
        <f t="shared" si="51"/>
        <v>0.11043877033537902</v>
      </c>
      <c r="W232" s="2">
        <f t="shared" si="52"/>
        <v>0.10705744606724045</v>
      </c>
      <c r="X232" s="2">
        <f t="shared" si="53"/>
        <v>0.11728533803050227</v>
      </c>
      <c r="Y232" s="2">
        <f t="shared" si="54"/>
        <v>0.10928020503416074</v>
      </c>
      <c r="Z232" s="2">
        <f t="shared" si="55"/>
        <v>0.10579568013572224</v>
      </c>
      <c r="AA232" s="2">
        <f t="shared" si="56"/>
        <v>0.11798772791544039</v>
      </c>
      <c r="AB232" s="2">
        <f t="shared" si="57"/>
        <v>0.10026757173055721</v>
      </c>
      <c r="AC232" s="2">
        <f t="shared" si="58"/>
        <v>0.1151901624778385</v>
      </c>
      <c r="AD232" s="2">
        <f t="shared" si="59"/>
        <v>0.10227444344259566</v>
      </c>
      <c r="AE232" s="2">
        <f t="shared" si="60"/>
        <v>0.10987695088187602</v>
      </c>
      <c r="AF232" s="2">
        <f t="shared" si="61"/>
        <v>0.11908712371493149</v>
      </c>
      <c r="AG232" s="2">
        <f t="shared" si="62"/>
        <v>9.9235315312320327E-2</v>
      </c>
      <c r="AH232" s="2">
        <f t="shared" si="63"/>
        <v>0.1199891551819615</v>
      </c>
      <c r="AI232" s="2">
        <f t="shared" si="64"/>
        <v>0.10099811712417744</v>
      </c>
      <c r="AJ232" s="2">
        <f>0.00712527365631219*(8350/2783.333)</f>
        <v>2.1375823528915434E-2</v>
      </c>
      <c r="AK232" s="2">
        <f>0.0377717243152039*(8350/2783.333)</f>
        <v>0.11331518651629277</v>
      </c>
      <c r="AL232" s="2">
        <f>0.217298224650257*(8350/2783.333)</f>
        <v>0.65189475202199931</v>
      </c>
      <c r="AM232" s="2">
        <f>0.0700642574908531*(8350/2783.333)</f>
        <v>0.21019279764534934</v>
      </c>
      <c r="AN232" s="2">
        <f>0.0509310179158962*(8350/2783.333)</f>
        <v>0.15279307204626016</v>
      </c>
      <c r="AO232" s="2">
        <f>0.0213412850725302*(8350/2783.333)</f>
        <v>6.402386288511909E-2</v>
      </c>
      <c r="AP232" s="2">
        <f>0.0591378558488726*(8350/2783.333)</f>
        <v>0.17741358879375405</v>
      </c>
      <c r="AQ232" s="2">
        <f>0.0826645508171371*(8350/2783.333)</f>
        <v>0.24799368215125339</v>
      </c>
      <c r="AR232" s="2">
        <f>0.229982831095822*(8350/2783.333)</f>
        <v>0.68994857591603864</v>
      </c>
      <c r="AS232" s="2">
        <f>0.208214372790029*(8350/2783.333)</f>
        <v>0.62464319317765626</v>
      </c>
      <c r="AT232" s="2">
        <f>0.189034673130574*(8350/2783.333)</f>
        <v>0.56710408730837791</v>
      </c>
      <c r="AU232" s="2">
        <f>0.13965688405543*(8350/2783.333)</f>
        <v>0.41897070234242234</v>
      </c>
      <c r="AV232" s="2">
        <f>0.114622691312412*(8350/2783.333)</f>
        <v>0.3438681151190468</v>
      </c>
      <c r="AW232" s="2">
        <f>0.0982340185131818*(8350/2783.333)</f>
        <v>0.29470209083320892</v>
      </c>
    </row>
    <row r="233" spans="1:49" x14ac:dyDescent="0.25">
      <c r="A233" s="5">
        <v>45855</v>
      </c>
      <c r="B233" s="2">
        <f>0.384774963830469*(8350/2783.333)</f>
        <v>1.1543250297339251</v>
      </c>
      <c r="C233" s="2">
        <f>0.414257641381543*(8350/2783.333)</f>
        <v>1.2427730729797266</v>
      </c>
      <c r="D233" s="2">
        <f>0.231206604966847*(8350/2783.333)</f>
        <v>0.6936198979687932</v>
      </c>
      <c r="E233" s="2">
        <f>0.277971925063541*(8350/2783.333)</f>
        <v>0.83391587506078668</v>
      </c>
      <c r="F233" s="2">
        <f>0.229659031274912*(8350/2783.333)</f>
        <v>0.68897717633697175</v>
      </c>
      <c r="G233" s="2">
        <f>0.24258612512403*(8350/2783.333)</f>
        <v>0.72775846252879095</v>
      </c>
      <c r="H233" s="2">
        <f>0.236838886426456*(8350/2783.333)</f>
        <v>0.71051674437119305</v>
      </c>
      <c r="I233" s="2">
        <f>0.220877906217701*(8350/2783.333)</f>
        <v>0.66263379801044497</v>
      </c>
      <c r="J233" s="2">
        <f>0.194491077135454*(8350/2783.333)</f>
        <v>0.58347330128340458</v>
      </c>
      <c r="K233" s="2">
        <f>0.256652225514159*(8350/2783.333)</f>
        <v>0.76995676875286734</v>
      </c>
      <c r="L233" s="2">
        <f>0.181399466026501*(8350/2783.333)</f>
        <v>0.54419846325297228</v>
      </c>
      <c r="M233" s="2">
        <f>0.425573862789559*(8350/2783.333)</f>
        <v>1.2767217412694849</v>
      </c>
      <c r="N233" s="2">
        <f>0.184390232263911*(8350/2783.333)</f>
        <v>0.5531707630397289</v>
      </c>
      <c r="O233" s="2">
        <f>0.0390608593636825*(8350/2783.333)</f>
        <v>0.11718259212489092</v>
      </c>
      <c r="P233" s="2">
        <f>0.148287376087339*(8350/2783.333)</f>
        <v>0.44486218153892493</v>
      </c>
      <c r="Q233" s="2">
        <f>0.0183947494423601*(8350/2783.333)</f>
        <v>5.5184254935973225E-2</v>
      </c>
      <c r="R233" s="2">
        <f>0.020097865750002*(8350/2783.333)</f>
        <v>6.0293604470797103E-2</v>
      </c>
      <c r="S233" s="2">
        <f>0.00462244932544618*(8350/2783.333)</f>
        <v>1.3867349637098968E-2</v>
      </c>
      <c r="T233" s="2">
        <f t="shared" si="49"/>
        <v>0.10069243236843764</v>
      </c>
      <c r="U233" s="2">
        <f t="shared" si="50"/>
        <v>0.11437794326585224</v>
      </c>
      <c r="V233" s="2">
        <f t="shared" si="51"/>
        <v>0.11043877033537902</v>
      </c>
      <c r="W233" s="2">
        <f t="shared" si="52"/>
        <v>0.10705744606724045</v>
      </c>
      <c r="X233" s="2">
        <f t="shared" si="53"/>
        <v>0.11728533803050227</v>
      </c>
      <c r="Y233" s="2">
        <f t="shared" si="54"/>
        <v>0.10928020503416074</v>
      </c>
      <c r="Z233" s="2">
        <f t="shared" si="55"/>
        <v>0.10579568013572224</v>
      </c>
      <c r="AA233" s="2">
        <f t="shared" si="56"/>
        <v>0.11798772791544039</v>
      </c>
      <c r="AB233" s="2">
        <f t="shared" si="57"/>
        <v>0.10026757173055721</v>
      </c>
      <c r="AC233" s="2">
        <f t="shared" si="58"/>
        <v>0.1151901624778385</v>
      </c>
      <c r="AD233" s="2">
        <f t="shared" si="59"/>
        <v>0.10227444344259566</v>
      </c>
      <c r="AE233" s="2">
        <f t="shared" si="60"/>
        <v>0.10987695088187602</v>
      </c>
      <c r="AF233" s="2">
        <f t="shared" si="61"/>
        <v>0.11908712371493149</v>
      </c>
      <c r="AG233" s="2">
        <f t="shared" si="62"/>
        <v>9.9235315312320327E-2</v>
      </c>
      <c r="AH233" s="2">
        <f t="shared" si="63"/>
        <v>0.1199891551819615</v>
      </c>
      <c r="AI233" s="2">
        <f t="shared" si="64"/>
        <v>0.10099811712417744</v>
      </c>
      <c r="AJ233" s="2">
        <f>0.0839872682041905*(8350/2783.333)</f>
        <v>0.25196183478764145</v>
      </c>
      <c r="AK233" s="2">
        <f>0.0941295351982066*(8350/2783.333)</f>
        <v>0.28238863941361853</v>
      </c>
      <c r="AL233" s="2">
        <f>0.226783464615149*(8350/2783.333)</f>
        <v>0.68035047532454707</v>
      </c>
      <c r="AM233" s="2">
        <f>0.054200652021226*(8350/2783.333)</f>
        <v>0.16260197553696842</v>
      </c>
      <c r="AN233" s="2">
        <f>0.18943854224815*(8350/2783.333)</f>
        <v>0.56831569480621136</v>
      </c>
      <c r="AO233" s="2">
        <f>0.0723812815397003*(8350/2783.333)</f>
        <v>0.21714387062435492</v>
      </c>
      <c r="AP233" s="2">
        <f>0.0721315255846812*(8350/2783.333)</f>
        <v>0.21639460266956478</v>
      </c>
      <c r="AQ233" s="2">
        <f>0.0921506468125463*(8350/2783.333)</f>
        <v>0.27645197354565959</v>
      </c>
      <c r="AR233" s="2">
        <f>0.107314431839457*(8350/2783.333)</f>
        <v>0.3219433340744583</v>
      </c>
      <c r="AS233" s="2">
        <f>0.250178813946939*(8350/2783.333)</f>
        <v>0.75053653172543067</v>
      </c>
      <c r="AT233" s="2">
        <f>0.219529425257449*(8350/2783.333)</f>
        <v>0.65858835464520238</v>
      </c>
      <c r="AU233" s="2">
        <f>0.224578884811226*(8350/2783.333)</f>
        <v>0.67373673512071297</v>
      </c>
      <c r="AV233" s="2">
        <f>0.133984632412482*(8350/2783.333)</f>
        <v>0.40195394537564244</v>
      </c>
      <c r="AW233" s="2">
        <f>0.123258823862268*(8350/2783.333)</f>
        <v>0.36977651587141547</v>
      </c>
    </row>
    <row r="234" spans="1:49" x14ac:dyDescent="0.25">
      <c r="A234" s="5">
        <v>45856</v>
      </c>
      <c r="B234" s="2">
        <f>0.293717781856025*(8350/2783.333)</f>
        <v>0.88115345109543552</v>
      </c>
      <c r="C234" s="2">
        <f>0.287865808802255*(8350/2783.333)</f>
        <v>0.86359752983161997</v>
      </c>
      <c r="D234" s="2">
        <f>0.224947204493971*(8350/2783.333)</f>
        <v>0.67484169430127905</v>
      </c>
      <c r="E234" s="2">
        <f>0.235812849762237*(8350/2783.333)</f>
        <v>0.7074386340099007</v>
      </c>
      <c r="F234" s="2">
        <f>0.225362688853102*(8350/2783.333)</f>
        <v>0.67608814752794666</v>
      </c>
      <c r="G234" s="2">
        <f>0.240690921021498*(8350/2783.333)</f>
        <v>0.72207284954028472</v>
      </c>
      <c r="H234" s="2">
        <f>0.226811433573723*(8350/2783.333)</f>
        <v>0.6804343822103156</v>
      </c>
      <c r="I234" s="2">
        <f>0.230197649096085*(8350/2783.333)</f>
        <v>0.69059302999400829</v>
      </c>
      <c r="J234" s="2">
        <f>0.187757170187791*(8350/2783.333)</f>
        <v>0.56327157802104699</v>
      </c>
      <c r="K234" s="2">
        <f>0.246700404524834*(8350/2783.333)</f>
        <v>0.74010130220938841</v>
      </c>
      <c r="L234" s="2">
        <f>0.284580813674603*(8350/2783.333)</f>
        <v>0.85374254326842491</v>
      </c>
      <c r="M234" s="2">
        <f>0.357728754228905*(8350/2783.333)</f>
        <v>1.073186391212031</v>
      </c>
      <c r="N234" s="2">
        <f>0.137504681752361*(8350/2783.333)</f>
        <v>0.41251409465996891</v>
      </c>
      <c r="O234" s="2">
        <f>0.750043616819942*(8350/2783.333)</f>
        <v>2.2501311199366083</v>
      </c>
      <c r="P234" s="2">
        <f>0.448741739845697*(8350/2783.333)</f>
        <v>1.3462253807616884</v>
      </c>
      <c r="Q234" s="2">
        <f>0.216963711371427*(8350/2783.333)</f>
        <v>0.65089121206532552</v>
      </c>
      <c r="R234" s="2">
        <f>0.234847283115765*(8350/2783.333)</f>
        <v>0.70454193372357354</v>
      </c>
      <c r="S234" s="2">
        <f>0.0186438789459662*(8350/2783.333)</f>
        <v>5.5931643536299168E-2</v>
      </c>
      <c r="T234" s="2">
        <f t="shared" si="49"/>
        <v>0.10069243236843764</v>
      </c>
      <c r="U234" s="2">
        <f t="shared" si="50"/>
        <v>0.11437794326585224</v>
      </c>
      <c r="V234" s="2">
        <f t="shared" si="51"/>
        <v>0.11043877033537902</v>
      </c>
      <c r="W234" s="2">
        <f t="shared" si="52"/>
        <v>0.10705744606724045</v>
      </c>
      <c r="X234" s="2">
        <f t="shared" si="53"/>
        <v>0.11728533803050227</v>
      </c>
      <c r="Y234" s="2">
        <f t="shared" si="54"/>
        <v>0.10928020503416074</v>
      </c>
      <c r="Z234" s="2">
        <f t="shared" si="55"/>
        <v>0.10579568013572224</v>
      </c>
      <c r="AA234" s="2">
        <f t="shared" si="56"/>
        <v>0.11798772791544039</v>
      </c>
      <c r="AB234" s="2">
        <f t="shared" si="57"/>
        <v>0.10026757173055721</v>
      </c>
      <c r="AC234" s="2">
        <f t="shared" si="58"/>
        <v>0.1151901624778385</v>
      </c>
      <c r="AD234" s="2">
        <f t="shared" si="59"/>
        <v>0.10227444344259566</v>
      </c>
      <c r="AE234" s="2">
        <f t="shared" si="60"/>
        <v>0.10987695088187602</v>
      </c>
      <c r="AF234" s="2">
        <f t="shared" si="61"/>
        <v>0.11908712371493149</v>
      </c>
      <c r="AG234" s="2">
        <f t="shared" si="62"/>
        <v>9.9235315312320327E-2</v>
      </c>
      <c r="AH234" s="2">
        <f t="shared" si="63"/>
        <v>0.1199891551819615</v>
      </c>
      <c r="AI234" s="2">
        <f t="shared" si="64"/>
        <v>0.10099811712417744</v>
      </c>
      <c r="AJ234" s="2">
        <f>0*(8350/2783.333)</f>
        <v>0</v>
      </c>
      <c r="AK234" s="2">
        <f>0.000299775589803206*(8350/2783.333)</f>
        <v>8.9932687711343439E-4</v>
      </c>
      <c r="AL234" s="2">
        <f>0.0500130834512497*(8350/2783.333)</f>
        <v>0.15003926832252371</v>
      </c>
      <c r="AM234" s="2">
        <f>0.116002614996648*(8350/2783.333)</f>
        <v>0.34800788666753579</v>
      </c>
      <c r="AN234" s="2">
        <f>0.11211035041243*(8350/2783.333)</f>
        <v>0.33633109151646295</v>
      </c>
      <c r="AO234" s="2">
        <f>0.0595466625450318*(8350/2783.333)</f>
        <v>0.17864000902910848</v>
      </c>
      <c r="AP234" s="2">
        <f>0.0681334733582785*(8350/2783.333)</f>
        <v>0.20440044455393075</v>
      </c>
      <c r="AQ234" s="2">
        <f>0.071484509108262*(8350/2783.333)</f>
        <v>0.21445355300784619</v>
      </c>
      <c r="AR234" s="2">
        <f>0.0849368410297071*(8350/2783.333)</f>
        <v>0.25481055360535515</v>
      </c>
      <c r="AS234" s="2">
        <f>0.315939183422709*(8350/2783.333)</f>
        <v>0.94781766377922361</v>
      </c>
      <c r="AT234" s="2">
        <f>0.140833290736481*(8350/2783.333)</f>
        <v>0.42249992280823645</v>
      </c>
      <c r="AU234" s="2">
        <f>0.210978095627681*(8350/2783.333)</f>
        <v>0.63293436268356451</v>
      </c>
      <c r="AV234" s="2">
        <f>0.129027975490864*(8350/2783.333)</f>
        <v>0.38708397282995372</v>
      </c>
      <c r="AW234" s="2">
        <f>0.147661894916966*(8350/2783.333)</f>
        <v>0.44298573780308281</v>
      </c>
    </row>
    <row r="235" spans="1:49" x14ac:dyDescent="0.25">
      <c r="A235" s="5">
        <v>45857</v>
      </c>
      <c r="B235" s="2">
        <f>0.389444562906081*(8350/2783.333)</f>
        <v>1.1683338286384632</v>
      </c>
      <c r="C235" s="2">
        <f>0.376772611186925*(8350/2783.333)</f>
        <v>1.130317968928197</v>
      </c>
      <c r="D235" s="2">
        <f>0.311013960996013*(8350/2783.333)</f>
        <v>0.9330419947295947</v>
      </c>
      <c r="E235" s="2">
        <f>0.339125748577519*(8350/2783.333)</f>
        <v>1.0173773675741593</v>
      </c>
      <c r="F235" s="2">
        <f>0.279652834001423*(8350/2783.333)</f>
        <v>0.83895860247835308</v>
      </c>
      <c r="G235" s="2">
        <f>0.299916049225607*(8350/2783.333)</f>
        <v>0.89974825543110237</v>
      </c>
      <c r="H235" s="2">
        <f>0.263101262945518*(8350/2783.333)</f>
        <v>0.78930388336396629</v>
      </c>
      <c r="I235" s="2">
        <f>0.254894967723803*(8350/2783.333)</f>
        <v>0.76468499475045026</v>
      </c>
      <c r="J235" s="2">
        <f>0.230141172740731*(8350/2783.333)</f>
        <v>0.69042360090765442</v>
      </c>
      <c r="K235" s="2">
        <f>0.303268650148363*(8350/2783.333)</f>
        <v>0.90980605940389758</v>
      </c>
      <c r="L235" s="2">
        <f>0.240063054810301*(8350/2783.333)</f>
        <v>0.72018925068111261</v>
      </c>
      <c r="M235" s="2">
        <f>0.236136222003316*(8350/2783.333)</f>
        <v>0.70840875084932087</v>
      </c>
      <c r="N235" s="2">
        <f>0.426697909277384*(8350/2783.333)</f>
        <v>1.280093881136809</v>
      </c>
      <c r="O235" s="2">
        <f>0.512298193962144*(8350/2783.333)</f>
        <v>1.5368947659456851</v>
      </c>
      <c r="P235" s="2">
        <f>0.1560465992547*(8350/2783.333)</f>
        <v>0.46813985382875228</v>
      </c>
      <c r="Q235" s="2">
        <f>0.124518303917515*(8350/2783.333)</f>
        <v>0.37355495648966491</v>
      </c>
      <c r="R235" s="2">
        <f>0.0662485204351919*(8350/2783.333)</f>
        <v>0.19874558510744231</v>
      </c>
      <c r="S235" s="2">
        <f>0.00847449042998466*(8350/2783.333)</f>
        <v>2.5423474334681447E-2</v>
      </c>
      <c r="T235" s="2">
        <f t="shared" si="49"/>
        <v>0.10069243236843764</v>
      </c>
      <c r="U235" s="2">
        <f t="shared" si="50"/>
        <v>0.11437794326585224</v>
      </c>
      <c r="V235" s="2">
        <f t="shared" si="51"/>
        <v>0.11043877033537902</v>
      </c>
      <c r="W235" s="2">
        <f t="shared" si="52"/>
        <v>0.10705744606724045</v>
      </c>
      <c r="X235" s="2">
        <f t="shared" si="53"/>
        <v>0.11728533803050227</v>
      </c>
      <c r="Y235" s="2">
        <f t="shared" si="54"/>
        <v>0.10928020503416074</v>
      </c>
      <c r="Z235" s="2">
        <f t="shared" si="55"/>
        <v>0.10579568013572224</v>
      </c>
      <c r="AA235" s="2">
        <f t="shared" si="56"/>
        <v>0.11798772791544039</v>
      </c>
      <c r="AB235" s="2">
        <f t="shared" si="57"/>
        <v>0.10026757173055721</v>
      </c>
      <c r="AC235" s="2">
        <f t="shared" si="58"/>
        <v>0.1151901624778385</v>
      </c>
      <c r="AD235" s="2">
        <f t="shared" si="59"/>
        <v>0.10227444344259566</v>
      </c>
      <c r="AE235" s="2">
        <f t="shared" si="60"/>
        <v>0.10987695088187602</v>
      </c>
      <c r="AF235" s="2">
        <f t="shared" si="61"/>
        <v>0.11908712371493149</v>
      </c>
      <c r="AG235" s="2">
        <f t="shared" si="62"/>
        <v>9.9235315312320327E-2</v>
      </c>
      <c r="AH235" s="2">
        <f t="shared" si="63"/>
        <v>0.1199891551819615</v>
      </c>
      <c r="AI235" s="2">
        <f t="shared" si="64"/>
        <v>0.10099811712417744</v>
      </c>
      <c r="AJ235" s="2">
        <f>0.00924769559649029*(8350/2783.333)</f>
        <v>2.7743090111996625E-2</v>
      </c>
      <c r="AK235" s="2">
        <f>0.0173869842085859*(8350/2783.333)</f>
        <v>5.2160958872579218E-2</v>
      </c>
      <c r="AL235" s="2">
        <f>0*(8350/2783.333)</f>
        <v>0</v>
      </c>
      <c r="AM235" s="2">
        <f>0*(8350/2783.333)</f>
        <v>0</v>
      </c>
      <c r="AN235" s="2">
        <f>0*(8350/2783.333)</f>
        <v>0</v>
      </c>
      <c r="AO235" s="2">
        <f>0.00462643242831074*(8350/2783.333)</f>
        <v>1.3879298947123716E-2</v>
      </c>
      <c r="AP235" s="2">
        <f>0.00649683486790431*(8350/2783.333)</f>
        <v>1.9490506937905376E-2</v>
      </c>
      <c r="AQ235" s="2">
        <f>0.040315907980489*(8350/2783.333)</f>
        <v>0.12094773842622605</v>
      </c>
      <c r="AR235" s="2">
        <f>0.0980040473419697*(8350/2783.333)</f>
        <v>0.29401217723694822</v>
      </c>
      <c r="AS235" s="2">
        <f>0.225257402531916*(8350/2783.333)</f>
        <v>0.67577228852656102</v>
      </c>
      <c r="AT235" s="2">
        <f>0.12853701971758*(8350/2783.333)</f>
        <v>0.38561110533371035</v>
      </c>
      <c r="AU235" s="2">
        <f>0.216783310523096*(8350/2783.333)</f>
        <v>0.65035000945551813</v>
      </c>
      <c r="AV235" s="2">
        <f>0.137082542988493*(8350/2783.333)</f>
        <v>0.41124767821669733</v>
      </c>
      <c r="AW235" s="2">
        <f>0.115020844461637*(8350/2783.333)</f>
        <v>0.34506257470976964</v>
      </c>
    </row>
    <row r="236" spans="1:49" x14ac:dyDescent="0.25">
      <c r="A236" s="5">
        <v>45858</v>
      </c>
      <c r="B236" s="2">
        <f>0.368431367065825*(8350/2783.333)</f>
        <v>1.105294233568042</v>
      </c>
      <c r="C236" s="2">
        <f>0.374850301946176*(8350/2783.333)</f>
        <v>1.1245510405152981</v>
      </c>
      <c r="D236" s="2">
        <f>0.244507830971708*(8350/2783.333)</f>
        <v>0.73352358076225999</v>
      </c>
      <c r="E236" s="2">
        <f>0.281678217397721*(8350/2783.333)</f>
        <v>0.84503475339493084</v>
      </c>
      <c r="F236" s="2">
        <f>0.239032869286132*(8350/2783.333)</f>
        <v>0.71709869373848056</v>
      </c>
      <c r="G236" s="2">
        <f>0.247324135380358*(8350/2783.333)</f>
        <v>0.74197249500005602</v>
      </c>
      <c r="H236" s="2">
        <f>0.230153917857967*(8350/2783.333)</f>
        <v>0.6904618362639412</v>
      </c>
      <c r="I236" s="2">
        <f>0.219013957642025*(8350/2783.333)</f>
        <v>0.65704195161373269</v>
      </c>
      <c r="J236" s="2">
        <f>0.183003824107087*(8350/2783.333)</f>
        <v>0.54901153807114667</v>
      </c>
      <c r="K236" s="2">
        <f>0.240415043899997*(8350/2783.333)</f>
        <v>0.72124521807666531</v>
      </c>
      <c r="L236" s="2">
        <f>0.16392520553771*(8350/2783.333)</f>
        <v>0.49177567550841988</v>
      </c>
      <c r="M236" s="2">
        <f>0.234814564044343*(8350/2783.333)</f>
        <v>0.70444377649755252</v>
      </c>
      <c r="N236" s="2">
        <f>0.093377104800314*(8350/2783.333)</f>
        <v>0.28013134794960631</v>
      </c>
      <c r="O236" s="2">
        <f>0.310608948978514*(8350/2783.333)</f>
        <v>0.93182695853158459</v>
      </c>
      <c r="P236" s="2">
        <f>0.440982516678337*(8350/2783.333)</f>
        <v>1.3229477084718611</v>
      </c>
      <c r="Q236" s="2">
        <f>0.36176340569975*(8350/2783.333)</f>
        <v>1.0852903470741404</v>
      </c>
      <c r="R236" s="2">
        <f>0.26611062983799*(8350/2783.333)</f>
        <v>0.79833198512259163</v>
      </c>
      <c r="S236" s="2">
        <f>0.13512960194721*(8350/2783.333)</f>
        <v>0.4053888543911931</v>
      </c>
      <c r="T236" s="2">
        <f t="shared" si="49"/>
        <v>0.10069243236843764</v>
      </c>
      <c r="U236" s="2">
        <f t="shared" si="50"/>
        <v>0.11437794326585224</v>
      </c>
      <c r="V236" s="2">
        <f t="shared" si="51"/>
        <v>0.11043877033537902</v>
      </c>
      <c r="W236" s="2">
        <f t="shared" si="52"/>
        <v>0.10705744606724045</v>
      </c>
      <c r="X236" s="2">
        <f t="shared" si="53"/>
        <v>0.11728533803050227</v>
      </c>
      <c r="Y236" s="2">
        <f t="shared" si="54"/>
        <v>0.10928020503416074</v>
      </c>
      <c r="Z236" s="2">
        <f t="shared" si="55"/>
        <v>0.10579568013572224</v>
      </c>
      <c r="AA236" s="2">
        <f t="shared" si="56"/>
        <v>0.11798772791544039</v>
      </c>
      <c r="AB236" s="2">
        <f t="shared" si="57"/>
        <v>0.10026757173055721</v>
      </c>
      <c r="AC236" s="2">
        <f t="shared" si="58"/>
        <v>0.1151901624778385</v>
      </c>
      <c r="AD236" s="2">
        <f t="shared" si="59"/>
        <v>0.10227444344259566</v>
      </c>
      <c r="AE236" s="2">
        <f t="shared" si="60"/>
        <v>0.10987695088187602</v>
      </c>
      <c r="AF236" s="2">
        <f t="shared" si="61"/>
        <v>0.11908712371493149</v>
      </c>
      <c r="AG236" s="2">
        <f t="shared" si="62"/>
        <v>9.9235315312320327E-2</v>
      </c>
      <c r="AH236" s="2">
        <f t="shared" si="63"/>
        <v>0.1199891551819615</v>
      </c>
      <c r="AI236" s="2">
        <f t="shared" si="64"/>
        <v>0.10099811712417744</v>
      </c>
      <c r="AJ236" s="2">
        <f>0.0356263682815609*(8350/2783.333)</f>
        <v>0.10687911764457717</v>
      </c>
      <c r="AK236" s="2">
        <f>0.0485636455481193*(8350/2783.333)</f>
        <v>0.14569095409237642</v>
      </c>
      <c r="AL236" s="2">
        <f>0.412751654229854*(8350/2783.333)</f>
        <v>1.2382551109835864</v>
      </c>
      <c r="AM236" s="2">
        <f>0.458722591496717*(8350/2783.333)</f>
        <v>1.3761679393006838</v>
      </c>
      <c r="AN236" s="2">
        <f>0.132917534560997*(8350/2783.333)</f>
        <v>0.3987526514378007</v>
      </c>
      <c r="AO236" s="2">
        <f>0.0485029206193868*(8350/2783.333)</f>
        <v>0.14550877928436154</v>
      </c>
      <c r="AP236" s="2">
        <f>0.107947410112872*(8350/2783.333)</f>
        <v>0.32384226912212005</v>
      </c>
      <c r="AQ236" s="2">
        <f>0.0874075988148417*(8350/2783.333)</f>
        <v>0.26222282784845652</v>
      </c>
      <c r="AR236" s="2">
        <f>0.0991474278942927*(8350/2783.333)</f>
        <v>0.29744231930471271</v>
      </c>
      <c r="AS236" s="2">
        <f>0.20644575649606*(8350/2783.333)</f>
        <v>0.61933734366031723</v>
      </c>
      <c r="AT236" s="2">
        <f>0.166573484736047*(8350/2783.333)</f>
        <v>0.49972051405491064</v>
      </c>
      <c r="AU236" s="2">
        <f>0.242823845911104*(8350/2783.333)</f>
        <v>0.72847162497542373</v>
      </c>
      <c r="AV236" s="2">
        <f>0.135068901114086*(8350/2783.333)</f>
        <v>0.40520675187001148</v>
      </c>
      <c r="AW236" s="2">
        <f>0.145952125607401*(8350/2783.333)</f>
        <v>0.43785642926009988</v>
      </c>
    </row>
    <row r="237" spans="1:49" x14ac:dyDescent="0.25">
      <c r="A237" s="5">
        <v>45859</v>
      </c>
      <c r="B237" s="2">
        <f>0.451550230611727*(8350/2783.333)</f>
        <v>1.3546508540688174</v>
      </c>
      <c r="C237" s="2">
        <f>0.383981270839736*(8350/2783.333)</f>
        <v>1.1519439504765683</v>
      </c>
      <c r="D237" s="2">
        <f>0.250767231444584*(8350/2783.333)</f>
        <v>0.75230178442977347</v>
      </c>
      <c r="E237" s="2">
        <f>0.268706194228089*(8350/2783.333)</f>
        <v>0.80611867922542702</v>
      </c>
      <c r="F237" s="2">
        <f>0.250359590216358*(8350/2783.333)</f>
        <v>0.75107886059863715</v>
      </c>
      <c r="G237" s="2">
        <f>0.273383191790166*(8350/2783.333)</f>
        <v>0.82014967359201618</v>
      </c>
      <c r="H237" s="2">
        <f>0.258326285396598*(8350/2783.333)</f>
        <v>0.77497894900164421</v>
      </c>
      <c r="I237" s="2">
        <f>0.244177263413661*(8350/2783.333)</f>
        <v>0.73253187796935282</v>
      </c>
      <c r="J237" s="2">
        <f>0.209147227550957*(8350/2783.333)</f>
        <v>0.62744175779559641</v>
      </c>
      <c r="K237" s="2">
        <f>0.277079647544877*(8350/2783.333)</f>
        <v>0.8312390421842174</v>
      </c>
      <c r="L237" s="2">
        <f>0.212187448792467*(8350/2783.333)</f>
        <v>0.63656242261242191</v>
      </c>
      <c r="M237" s="2">
        <f>0.285478119138338*(8350/2783.333)</f>
        <v>0.85643445998201462</v>
      </c>
      <c r="N237" s="2">
        <f>0.440881773297685*(8350/2783.333)</f>
        <v>1.3226454782937107</v>
      </c>
      <c r="O237" s="2">
        <f>0.270421334056264*(8350/2783.333)</f>
        <v>0.81126409932616805</v>
      </c>
      <c r="P237" s="2">
        <f>0.512970864953295*(8350/2783.333)</f>
        <v>1.5389127791608159</v>
      </c>
      <c r="Q237" s="2">
        <f>0.513638003659749*(8350/2783.333)</f>
        <v>1.5409141955198677</v>
      </c>
      <c r="R237" s="2">
        <f>0.186835714935204*(8350/2783.333)</f>
        <v>0.56050721193222508</v>
      </c>
      <c r="S237" s="2">
        <f>0.0924489865089236*(8350/2783.333)</f>
        <v>0.27734699274197938</v>
      </c>
      <c r="T237" s="2">
        <f t="shared" si="49"/>
        <v>0.10069243236843764</v>
      </c>
      <c r="U237" s="2">
        <f t="shared" si="50"/>
        <v>0.11437794326585224</v>
      </c>
      <c r="V237" s="2">
        <f t="shared" si="51"/>
        <v>0.11043877033537902</v>
      </c>
      <c r="W237" s="2">
        <f t="shared" si="52"/>
        <v>0.10705744606724045</v>
      </c>
      <c r="X237" s="2">
        <f t="shared" si="53"/>
        <v>0.11728533803050227</v>
      </c>
      <c r="Y237" s="2">
        <f t="shared" si="54"/>
        <v>0.10928020503416074</v>
      </c>
      <c r="Z237" s="2">
        <f t="shared" si="55"/>
        <v>0.10579568013572224</v>
      </c>
      <c r="AA237" s="2">
        <f t="shared" si="56"/>
        <v>0.11798772791544039</v>
      </c>
      <c r="AB237" s="2">
        <f t="shared" si="57"/>
        <v>0.10026757173055721</v>
      </c>
      <c r="AC237" s="2">
        <f t="shared" si="58"/>
        <v>0.1151901624778385</v>
      </c>
      <c r="AD237" s="2">
        <f t="shared" si="59"/>
        <v>0.10227444344259566</v>
      </c>
      <c r="AE237" s="2">
        <f t="shared" si="60"/>
        <v>0.10987695088187602</v>
      </c>
      <c r="AF237" s="2">
        <f t="shared" si="61"/>
        <v>0.11908712371493149</v>
      </c>
      <c r="AG237" s="2">
        <f t="shared" si="62"/>
        <v>9.9235315312320327E-2</v>
      </c>
      <c r="AH237" s="2">
        <f t="shared" si="63"/>
        <v>0.1199891551819615</v>
      </c>
      <c r="AI237" s="2">
        <f t="shared" si="64"/>
        <v>0.10099811712417744</v>
      </c>
      <c r="AJ237" s="2">
        <f>0.0500285171613409*(8350/2783.333)</f>
        <v>0.15008556945834239</v>
      </c>
      <c r="AK237" s="2">
        <f>0.0812391848366687*(8350/2783.333)</f>
        <v>0.2437175836977408</v>
      </c>
      <c r="AL237" s="2">
        <f>0.015233870246645*(8350/2783.333)</f>
        <v>4.5701616213182479E-2</v>
      </c>
      <c r="AM237" s="2">
        <f>0*(8350/2783.333)</f>
        <v>0</v>
      </c>
      <c r="AN237" s="2">
        <f>0.0226705140723196*(8350/2783.333)</f>
        <v>6.8011550362054765E-2</v>
      </c>
      <c r="AO237" s="2">
        <f>0.0456673652600996*(8350/2783.333)</f>
        <v>0.13700211218773736</v>
      </c>
      <c r="AP237" s="2">
        <f>0.0613034674715073*(8350/2783.333)</f>
        <v>0.1839104244397225</v>
      </c>
      <c r="AQ237" s="2">
        <f>0.0652169099684381*(8350/2783.333)</f>
        <v>0.19565075333654214</v>
      </c>
      <c r="AR237" s="2">
        <f>0.166443540402445*(8350/2783.333)</f>
        <v>0.49933068100741684</v>
      </c>
      <c r="AS237" s="2">
        <f>0.257092495823364*(8350/2783.333)</f>
        <v>0.77127757983866563</v>
      </c>
      <c r="AT237" s="2">
        <f>0.178869755754949*(8350/2783.333)</f>
        <v>0.53660933152943668</v>
      </c>
      <c r="AU237" s="2">
        <f>0.121909512803731*(8350/2783.333)</f>
        <v>0.365728582211022</v>
      </c>
      <c r="AV237" s="2">
        <f>0.114467795783612*(8350/2783.333)</f>
        <v>0.3434034284769939</v>
      </c>
      <c r="AW237" s="2">
        <f>0.137092411912383*(8350/2783.333)</f>
        <v>0.41127728499191485</v>
      </c>
    </row>
    <row r="238" spans="1:49" x14ac:dyDescent="0.25">
      <c r="A238" s="5">
        <v>45860</v>
      </c>
      <c r="B238" s="2">
        <f>0.339946812704589*(8350/2783.333)</f>
        <v>1.0198405602503606</v>
      </c>
      <c r="C238" s="2">
        <f>0.336404117131183*(8350/2783.333)</f>
        <v>1.0092124722573186</v>
      </c>
      <c r="D238" s="2">
        <f>0.249984806385474*(8350/2783.333)</f>
        <v>0.74995450897133442</v>
      </c>
      <c r="E238" s="2">
        <f>0.286311082815447*(8350/2783.333)</f>
        <v>0.8589333513126105</v>
      </c>
      <c r="F238" s="2">
        <f>0.233955373696721*(8350/2783.333)</f>
        <v>0.70186620514599685</v>
      </c>
      <c r="G238" s="2">
        <f>0.252062145636687*(8350/2783.333)</f>
        <v>0.75618652747132109</v>
      </c>
      <c r="H238" s="2">
        <f>0.229676420103075*(8350/2783.333)</f>
        <v>0.68902934282770922</v>
      </c>
      <c r="I238" s="2">
        <f>0.202704407604852*(8350/2783.333)</f>
        <v>0.60811329564249672</v>
      </c>
      <c r="J238" s="2">
        <f>0.205978330163821*(8350/2783.333)</f>
        <v>0.61793506449566293</v>
      </c>
      <c r="K238" s="2">
        <f>0.268175386659692*(8350/2783.333)</f>
        <v>0.80452625632952612</v>
      </c>
      <c r="L238" s="2">
        <f>0.20553058765388*(8350/2783.333)</f>
        <v>0.61659183680497376</v>
      </c>
      <c r="M238" s="2">
        <f>0.193402614663164*(8350/2783.333)</f>
        <v>0.58020791347546996</v>
      </c>
      <c r="N238" s="2">
        <f>0.165872409792963*(8350/2783.333)</f>
        <v>0.49761728897377333</v>
      </c>
      <c r="O238" s="2">
        <f>0.253144415491558*(8350/2783.333)</f>
        <v>0.75943333742477415</v>
      </c>
      <c r="P238" s="2">
        <f>0.0387961158368038*(8350/2783.333)</f>
        <v>0.11638836144913738</v>
      </c>
      <c r="Q238" s="2">
        <f>0.0405627808216147*(8350/2783.333)</f>
        <v>0.12168835703829997</v>
      </c>
      <c r="R238" s="2">
        <f>0.279881389703732*(8350/2783.333)</f>
        <v>0.8396442696673968</v>
      </c>
      <c r="S238" s="2">
        <f>0.0457622483219172*(8350/2783.333)</f>
        <v>0.13728676140727977</v>
      </c>
      <c r="T238" s="2">
        <f t="shared" si="49"/>
        <v>0.10069243236843764</v>
      </c>
      <c r="U238" s="2">
        <f t="shared" si="50"/>
        <v>0.11437794326585224</v>
      </c>
      <c r="V238" s="2">
        <f t="shared" si="51"/>
        <v>0.11043877033537902</v>
      </c>
      <c r="W238" s="2">
        <f t="shared" si="52"/>
        <v>0.10705744606724045</v>
      </c>
      <c r="X238" s="2">
        <f t="shared" si="53"/>
        <v>0.11728533803050227</v>
      </c>
      <c r="Y238" s="2">
        <f t="shared" si="54"/>
        <v>0.10928020503416074</v>
      </c>
      <c r="Z238" s="2">
        <f t="shared" si="55"/>
        <v>0.10579568013572224</v>
      </c>
      <c r="AA238" s="2">
        <f t="shared" si="56"/>
        <v>0.11798772791544039</v>
      </c>
      <c r="AB238" s="2">
        <f t="shared" si="57"/>
        <v>0.10026757173055721</v>
      </c>
      <c r="AC238" s="2">
        <f t="shared" si="58"/>
        <v>0.1151901624778385</v>
      </c>
      <c r="AD238" s="2">
        <f t="shared" si="59"/>
        <v>0.10227444344259566</v>
      </c>
      <c r="AE238" s="2">
        <f t="shared" si="60"/>
        <v>0.10987695088187602</v>
      </c>
      <c r="AF238" s="2">
        <f t="shared" si="61"/>
        <v>0.11908712371493149</v>
      </c>
      <c r="AG238" s="2">
        <f t="shared" si="62"/>
        <v>9.9235315312320327E-2</v>
      </c>
      <c r="AH238" s="2">
        <f t="shared" si="63"/>
        <v>0.1199891551819615</v>
      </c>
      <c r="AI238" s="2">
        <f t="shared" si="64"/>
        <v>0.10099811712417744</v>
      </c>
      <c r="AJ238" s="2">
        <f>0.0432064466393398*(8350/2783.333)</f>
        <v>0.12961935544129563</v>
      </c>
      <c r="AK238" s="2">
        <f>0.00899326769409617*(8350/2783.333)</f>
        <v>2.6979806313403035E-2</v>
      </c>
      <c r="AL238" s="2">
        <f>0.0594983234161419*(8350/2783.333)</f>
        <v>0.17849499162507129</v>
      </c>
      <c r="AM238" s="2">
        <f>0.0862583547410974*(8350/2783.333)</f>
        <v>0.25877509521432163</v>
      </c>
      <c r="AN238" s="2">
        <f>0.132917534560997*(8350/2783.333)</f>
        <v>0.3987526514378007</v>
      </c>
      <c r="AO238" s="2">
        <f>0.0383546172282536*(8350/2783.333)</f>
        <v>0.11506386546486436</v>
      </c>
      <c r="AP238" s="2">
        <f>0.0947871548676295*(8350/2783.333)</f>
        <v>0.28436149865815791</v>
      </c>
      <c r="AQ238" s="2">
        <f>0.0921506468125463*(8350/2783.333)</f>
        <v>0.27645197354565959</v>
      </c>
      <c r="AR238" s="2">
        <f>0.0962073064740336*(8350/2783.333)</f>
        <v>0.28862195398760426</v>
      </c>
      <c r="AS238" s="2">
        <f>0.142132436715356*(8350/2783.333)</f>
        <v>0.42639736121161964</v>
      </c>
      <c r="AT238" s="2">
        <f>0.19116602677385*(8350/2783.333)</f>
        <v>0.57349814900396268</v>
      </c>
      <c r="AU238" s="2">
        <f>0.266874021906398*(8350/2783.333)</f>
        <v>0.80062216160208755</v>
      </c>
      <c r="AV238" s="2">
        <f>0.10842687016039*(8350/2783.333)</f>
        <v>0.3252806494369358</v>
      </c>
      <c r="AW238" s="2">
        <f>0.0943481791732616*(8350/2783.333)</f>
        <v>0.2830445714173383</v>
      </c>
    </row>
    <row r="239" spans="1:49" x14ac:dyDescent="0.25">
      <c r="A239" s="5">
        <v>45861</v>
      </c>
      <c r="B239" s="2">
        <f>0.289048182780413*(8350/2783.333)</f>
        <v>0.86714465219089765</v>
      </c>
      <c r="C239" s="2">
        <f>0.295074468455066*(8350/2783.333)</f>
        <v>0.885223511379991</v>
      </c>
      <c r="D239" s="2">
        <f>0.235118730262394*(8350/2783.333)</f>
        <v>0.70535627526098887</v>
      </c>
      <c r="E239" s="2">
        <f>0.29418695402558*(8350/2783.333)</f>
        <v>0.88256096777266568</v>
      </c>
      <c r="F239" s="2">
        <f>0.240204599037535*(8350/2783.333)</f>
        <v>0.72061388341366939</v>
      </c>
      <c r="G239" s="2">
        <f>0.253483548713586*(8350/2783.333)</f>
        <v>0.76045073721270129</v>
      </c>
      <c r="H239" s="2">
        <f>0.244001352749836*(8350/2783.333)</f>
        <v>0.73200414591467633</v>
      </c>
      <c r="I239" s="2">
        <f>0.2451092377015*(8350/2783.333)</f>
        <v>0.73532780116770935</v>
      </c>
      <c r="J239" s="2">
        <f>0.194887189308846*(8350/2783.333)</f>
        <v>0.58466163794589643</v>
      </c>
      <c r="K239" s="2">
        <f>0.254557105305879*(8350/2783.333)</f>
        <v>0.76367140737529204</v>
      </c>
      <c r="L239" s="2">
        <f>0.239230947167977*(8350/2783.333)</f>
        <v>0.71769292745518132</v>
      </c>
      <c r="M239" s="2">
        <f>0.42248999421862*(8350/2783.333)</f>
        <v>1.2674701344486914</v>
      </c>
      <c r="N239" s="2">
        <f>0.239943699676756*(8350/2783.333)</f>
        <v>0.71983118523759615</v>
      </c>
      <c r="O239" s="2">
        <f>0.107041778063938*(8350/2783.333)</f>
        <v>0.32112537264994157</v>
      </c>
      <c r="P239" s="2">
        <f>0.318559217815533*(8350/2783.333)</f>
        <v>0.9556777678990277</v>
      </c>
      <c r="Q239" s="2">
        <f>0.014149807263354*(8350/2783.333)</f>
        <v>4.2449426873825545E-2</v>
      </c>
      <c r="R239" s="2">
        <f>0.00260527889351878*(8350/2783.333)</f>
        <v>7.8158376165848083E-3</v>
      </c>
      <c r="S239" s="2">
        <f>0.0167948992157878*(8350/2783.333)</f>
        <v>5.0384703681459586E-2</v>
      </c>
      <c r="T239" s="2">
        <f t="shared" si="49"/>
        <v>0.10069243236843764</v>
      </c>
      <c r="U239" s="2">
        <f t="shared" si="50"/>
        <v>0.11437794326585224</v>
      </c>
      <c r="V239" s="2">
        <f t="shared" si="51"/>
        <v>0.11043877033537902</v>
      </c>
      <c r="W239" s="2">
        <f t="shared" si="52"/>
        <v>0.10705744606724045</v>
      </c>
      <c r="X239" s="2">
        <f t="shared" si="53"/>
        <v>0.11728533803050227</v>
      </c>
      <c r="Y239" s="2">
        <f t="shared" si="54"/>
        <v>0.10928020503416074</v>
      </c>
      <c r="Z239" s="2">
        <f t="shared" si="55"/>
        <v>0.10579568013572224</v>
      </c>
      <c r="AA239" s="2">
        <f t="shared" si="56"/>
        <v>0.11798772791544039</v>
      </c>
      <c r="AB239" s="2">
        <f t="shared" si="57"/>
        <v>0.10026757173055721</v>
      </c>
      <c r="AC239" s="2">
        <f t="shared" si="58"/>
        <v>0.1151901624778385</v>
      </c>
      <c r="AD239" s="2">
        <f t="shared" si="59"/>
        <v>0.10227444344259566</v>
      </c>
      <c r="AE239" s="2">
        <f t="shared" si="60"/>
        <v>0.10987695088187602</v>
      </c>
      <c r="AF239" s="2">
        <f t="shared" si="61"/>
        <v>0.11908712371493149</v>
      </c>
      <c r="AG239" s="2">
        <f t="shared" si="62"/>
        <v>9.9235315312320327E-2</v>
      </c>
      <c r="AH239" s="2">
        <f t="shared" si="63"/>
        <v>0.1199891551819615</v>
      </c>
      <c r="AI239" s="2">
        <f t="shared" si="64"/>
        <v>0.10099811712417744</v>
      </c>
      <c r="AJ239" s="2">
        <f>0.082016447831168*(8350/2783.333)</f>
        <v>0.24604937296049464</v>
      </c>
      <c r="AK239" s="2">
        <f>0.0770423265794239*(8350/2783.333)</f>
        <v>0.23112700741815267</v>
      </c>
      <c r="AL239" s="2">
        <f>0.131068770423965*(8350/2783.333)</f>
        <v>0.39320635836247592</v>
      </c>
      <c r="AM239" s="2">
        <f>0.144755399910347*(8350/2783.333)</f>
        <v>0.43426625173897648</v>
      </c>
      <c r="AN239" s="2">
        <f>0.00279499488562845*(8350/2783.333)</f>
        <v>8.3849856610752459E-3</v>
      </c>
      <c r="AO239" s="2">
        <f>0.0114914611929009*(8350/2783.333)</f>
        <v>3.447438770737183E-2</v>
      </c>
      <c r="AP239" s="2">
        <f>0.0259873394716173*(8350/2783.333)</f>
        <v>7.7962027751621546E-2</v>
      </c>
      <c r="AQ239" s="2">
        <f>0.0570859705438016*(8350/2783.333)</f>
        <v>0.17125793214133692</v>
      </c>
      <c r="AR239" s="2">
        <f>0.0801999787415119*(8350/2783.333)</f>
        <v>0.24059996503890269</v>
      </c>
      <c r="AS239" s="2">
        <f>0.179916512086519*(8350/2783.333)</f>
        <v>0.53974960090022894</v>
      </c>
      <c r="AT239" s="2">
        <f>0.24084296169021*(8350/2783.333)</f>
        <v>0.72252897160104723</v>
      </c>
      <c r="AU239" s="2">
        <f>0.300544268299809*(8350/2783.333)</f>
        <v>0.90163291287941705</v>
      </c>
      <c r="AV239" s="2">
        <f>0.142968573082914*(8350/2783.333)</f>
        <v>0.42890577061470286</v>
      </c>
      <c r="AW239" s="2">
        <f>0.117196914491992*(8350/2783.333)</f>
        <v>0.35159078558265722</v>
      </c>
    </row>
    <row r="240" spans="1:49" x14ac:dyDescent="0.25">
      <c r="A240" s="5">
        <v>45862</v>
      </c>
      <c r="B240" s="2">
        <f>0.372634006233876*(8350/2783.333)</f>
        <v>1.1179021525821262</v>
      </c>
      <c r="C240" s="2">
        <f>0.369563951534114*(8350/2783.333)</f>
        <v>1.1086919873798258</v>
      </c>
      <c r="D240" s="2">
        <f>0.289106059340948*(8350/2783.333)</f>
        <v>0.86731828189329563</v>
      </c>
      <c r="E240" s="2">
        <f>0.345148473620563*(8350/2783.333)</f>
        <v>1.0354455448671438</v>
      </c>
      <c r="F240" s="2">
        <f>0.288636095428843*(8350/2783.333)</f>
        <v>0.86590838998813324</v>
      </c>
      <c r="G240" s="2">
        <f>0.32028949332782*(8350/2783.333)</f>
        <v>0.96086859505754418</v>
      </c>
      <c r="H240" s="2">
        <f>0.307986051905371*(8350/2783.333)</f>
        <v>0.92395826636979717</v>
      </c>
      <c r="I240" s="2">
        <f>0.305221579267077*(8350/2783.333)</f>
        <v>0.91566484746169119</v>
      </c>
      <c r="J240" s="2">
        <f>0.252719566624073*(8350/2783.333)</f>
        <v>0.75815879066967917</v>
      </c>
      <c r="K240" s="2">
        <f>0.333124113116336*(8350/2783.333)</f>
        <v>0.99937245903433325</v>
      </c>
      <c r="L240" s="2">
        <f>0.250464400339343*(8350/2783.333)</f>
        <v>0.75139329100525087</v>
      </c>
      <c r="M240" s="2">
        <f>0.302219119952006*(8350/2783.333)</f>
        <v>0.90665746843775008</v>
      </c>
      <c r="N240" s="2">
        <f>0.323864895130203*(8350/2783.333)</f>
        <v>0.97159480174926727</v>
      </c>
      <c r="O240" s="2">
        <f>0.484880475370328*(8350/2783.333)</f>
        <v>1.454641600319559</v>
      </c>
      <c r="P240" s="2">
        <f>0.867308722929436*(8350/2783.333)</f>
        <v>2.6019264803962705</v>
      </c>
      <c r="Q240" s="2">
        <f>0.391006340710681*(8350/2783.333)</f>
        <v>1.1730191626133799</v>
      </c>
      <c r="R240" s="2">
        <f>0.076297453310193*(8350/2783.333)</f>
        <v>0.22889238734284081</v>
      </c>
      <c r="S240" s="2">
        <f>0.00231122466272309*(8350/2783.333)</f>
        <v>6.9336748185494816E-3</v>
      </c>
      <c r="T240" s="2">
        <f t="shared" si="49"/>
        <v>0.10069243236843764</v>
      </c>
      <c r="U240" s="2">
        <f t="shared" si="50"/>
        <v>0.11437794326585224</v>
      </c>
      <c r="V240" s="2">
        <f t="shared" si="51"/>
        <v>0.11043877033537902</v>
      </c>
      <c r="W240" s="2">
        <f t="shared" si="52"/>
        <v>0.10705744606724045</v>
      </c>
      <c r="X240" s="2">
        <f t="shared" si="53"/>
        <v>0.11728533803050227</v>
      </c>
      <c r="Y240" s="2">
        <f t="shared" si="54"/>
        <v>0.10928020503416074</v>
      </c>
      <c r="Z240" s="2">
        <f t="shared" si="55"/>
        <v>0.10579568013572224</v>
      </c>
      <c r="AA240" s="2">
        <f t="shared" si="56"/>
        <v>0.11798772791544039</v>
      </c>
      <c r="AB240" s="2">
        <f t="shared" si="57"/>
        <v>0.10026757173055721</v>
      </c>
      <c r="AC240" s="2">
        <f t="shared" si="58"/>
        <v>0.1151901624778385</v>
      </c>
      <c r="AD240" s="2">
        <f t="shared" si="59"/>
        <v>0.10227444344259566</v>
      </c>
      <c r="AE240" s="2">
        <f t="shared" si="60"/>
        <v>0.10987695088187602</v>
      </c>
      <c r="AF240" s="2">
        <f t="shared" si="61"/>
        <v>0.11908712371493149</v>
      </c>
      <c r="AG240" s="2">
        <f t="shared" si="62"/>
        <v>9.9235315312320327E-2</v>
      </c>
      <c r="AH240" s="2">
        <f t="shared" si="63"/>
        <v>0.1199891551819615</v>
      </c>
      <c r="AI240" s="2">
        <f t="shared" si="64"/>
        <v>0.10099811712417744</v>
      </c>
      <c r="AJ240" s="2">
        <f>0*(8350/2783.333)</f>
        <v>0</v>
      </c>
      <c r="AK240" s="2">
        <f>0.121708889460101*(8350/2783.333)</f>
        <v>0.36512671210805414</v>
      </c>
      <c r="AL240" s="2">
        <f>0.0790436663741015*(8350/2783.333)</f>
        <v>0.23713102752122994</v>
      </c>
      <c r="AM240" s="2">
        <f>0.18143998755886*(8350/2783.333)</f>
        <v>0.54432002786460754</v>
      </c>
      <c r="AN240" s="2">
        <f>0.111489240437846*(8350/2783.333)</f>
        <v>0.33446776136955703</v>
      </c>
      <c r="AO240" s="2">
        <f>0.0510399964671701*(8350/2783.333)</f>
        <v>0.15312000773923592</v>
      </c>
      <c r="AP240" s="2">
        <f>0.0891232475468925*(8350/2783.333)</f>
        <v>0.26736977466100964</v>
      </c>
      <c r="AQ240" s="2">
        <f>0.126198955653211*(8350/2783.333)</f>
        <v>0.37859691230058146</v>
      </c>
      <c r="AR240" s="2">
        <f>0.125608520676624*(8350/2783.333)</f>
        <v>0.3768256071586884</v>
      </c>
      <c r="AS240" s="2">
        <f>0.118175725097044*(8350/2783.333)</f>
        <v>0.35452721774948026</v>
      </c>
      <c r="AT240" s="2">
        <f>0.130668373360856*(8350/2783.333)</f>
        <v>0.39200516702929522</v>
      </c>
      <c r="AU240" s="2">
        <f>0.154418716218059*(8350/2783.333)</f>
        <v>0.46325620413396101</v>
      </c>
      <c r="AV240" s="2">
        <f>0.138011916161296*(8350/2783.333)</f>
        <v>0.41403579806901414</v>
      </c>
      <c r="AW240" s="2">
        <f>0.136004376897206*(8350/2783.333)</f>
        <v>0.40801317955547123</v>
      </c>
    </row>
    <row r="241" spans="1:49" x14ac:dyDescent="0.25">
      <c r="A241" s="5">
        <v>45863</v>
      </c>
      <c r="B241" s="2">
        <f>0.387109763368275*(8350/2783.333)</f>
        <v>1.161329429186194</v>
      </c>
      <c r="C241" s="2">
        <f>0.371966838085051*(8350/2783.333)</f>
        <v>1.1159006478959501</v>
      </c>
      <c r="D241" s="2">
        <f>0.268763007804102*(8350/2783.333)</f>
        <v>0.80628911997387631</v>
      </c>
      <c r="E241" s="2">
        <f>0.341905467828155*(8350/2783.333)</f>
        <v>1.0257165263247678</v>
      </c>
      <c r="F241" s="2">
        <f>0.302696852445674*(8350/2783.333)</f>
        <v>0.90809066609039601</v>
      </c>
      <c r="G241" s="2">
        <f>0.323132299481617*(8350/2783.333)</f>
        <v>0.96939701454030325</v>
      </c>
      <c r="H241" s="2">
        <f>0.313238527209183*(8350/2783.333)</f>
        <v>0.93971569416835188</v>
      </c>
      <c r="I241" s="2">
        <f>0.313143360713703*(8350/2783.333)</f>
        <v>0.93943019464771937</v>
      </c>
      <c r="J241" s="2">
        <f>0.261037922265304*(8350/2783.333)</f>
        <v>0.78311386058200405</v>
      </c>
      <c r="K241" s="2">
        <f>0.343075934105661*(8350/2783.333)</f>
        <v>1.0292279255778114</v>
      </c>
      <c r="L241" s="2">
        <f>0.33284305692936*(8350/2783.333)</f>
        <v>0.99852929037242644</v>
      </c>
      <c r="M241" s="2">
        <f>0.705765350092002*(8350/2783.333)</f>
        <v>2.1172963038444252</v>
      </c>
      <c r="N241" s="2">
        <f>0.474371452234506*(8350/2783.333)</f>
        <v>1.423114527136397</v>
      </c>
      <c r="O241" s="2">
        <f>0.683940624050633*(8350/2783.333)</f>
        <v>2.0518221178790998</v>
      </c>
      <c r="P241" s="2">
        <f>0.367700964542152*(8350/2783.333)</f>
        <v>1.1031030257346017</v>
      </c>
      <c r="Q241" s="2">
        <f>0.122631662949068*(8350/2783.333)</f>
        <v>0.36789503290648817</v>
      </c>
      <c r="R241" s="2">
        <f>0.0152594906620386*(8350/2783.333)</f>
        <v>4.5778477468568189E-2</v>
      </c>
      <c r="S241" s="2">
        <f>0.0203387770319632*(8350/2783.333)</f>
        <v>6.1016338403235462E-2</v>
      </c>
      <c r="T241" s="2">
        <f t="shared" si="49"/>
        <v>0.10069243236843764</v>
      </c>
      <c r="U241" s="2">
        <f t="shared" si="50"/>
        <v>0.11437794326585224</v>
      </c>
      <c r="V241" s="2">
        <f t="shared" si="51"/>
        <v>0.11043877033537902</v>
      </c>
      <c r="W241" s="2">
        <f t="shared" si="52"/>
        <v>0.10705744606724045</v>
      </c>
      <c r="X241" s="2">
        <f t="shared" si="53"/>
        <v>0.11728533803050227</v>
      </c>
      <c r="Y241" s="2">
        <f t="shared" si="54"/>
        <v>0.10928020503416074</v>
      </c>
      <c r="Z241" s="2">
        <f t="shared" si="55"/>
        <v>0.10579568013572224</v>
      </c>
      <c r="AA241" s="2">
        <f t="shared" si="56"/>
        <v>0.11798772791544039</v>
      </c>
      <c r="AB241" s="2">
        <f t="shared" si="57"/>
        <v>0.10026757173055721</v>
      </c>
      <c r="AC241" s="2">
        <f t="shared" si="58"/>
        <v>0.1151901624778385</v>
      </c>
      <c r="AD241" s="2">
        <f t="shared" si="59"/>
        <v>0.10227444344259566</v>
      </c>
      <c r="AE241" s="2">
        <f t="shared" si="60"/>
        <v>0.10987695088187602</v>
      </c>
      <c r="AF241" s="2">
        <f t="shared" si="61"/>
        <v>0.11908712371493149</v>
      </c>
      <c r="AG241" s="2">
        <f t="shared" si="62"/>
        <v>9.9235315312320327E-2</v>
      </c>
      <c r="AH241" s="2">
        <f t="shared" si="63"/>
        <v>0.1199891551819615</v>
      </c>
      <c r="AI241" s="2">
        <f t="shared" si="64"/>
        <v>0.10099811712417744</v>
      </c>
      <c r="AJ241" s="2">
        <f>0.000303203134311157*(8350/2783.333)</f>
        <v>9.0960951186874197E-4</v>
      </c>
      <c r="AK241" s="2">
        <f>0.142093629566719*(8350/2783.333)</f>
        <v>0.42628093975176773</v>
      </c>
      <c r="AL241" s="2">
        <f>0.041677569542708*(8350/2783.333)</f>
        <v>0.12503272360210302</v>
      </c>
      <c r="AM241" s="2">
        <f>0.10146097664949*(8350/2783.333)</f>
        <v>0.30438296640152013</v>
      </c>
      <c r="AN241" s="2">
        <f>0.0499993529540201*(8350/2783.333)</f>
        <v>0.14999807682590172</v>
      </c>
      <c r="AO241" s="2">
        <f>0.0373099389379899*(8350/2783.333)</f>
        <v>0.11192983021873966</v>
      </c>
      <c r="AP241" s="2">
        <f>0.0489761397734325*(8350/2783.333)</f>
        <v>0.14692843691651744</v>
      </c>
      <c r="AQ241" s="2">
        <f>0.109937076803938*(8350/2783.333)</f>
        <v>0.32981126991017118</v>
      </c>
      <c r="AR241" s="2">
        <f>0.155663095194828*(8350/2783.333)</f>
        <v>0.46698934151135268</v>
      </c>
      <c r="AS241" s="2">
        <f>0.122195307583338*(8350/2783.333)</f>
        <v>0.3665859666525238</v>
      </c>
      <c r="AT241" s="2">
        <f>0.214938817410392*(8350/2783.333)</f>
        <v>0.64481652945471213</v>
      </c>
      <c r="AU241" s="2">
        <f>0.144964509102667*(8350/2783.333)</f>
        <v>0.4348935793910656</v>
      </c>
      <c r="AV241" s="2">
        <f>0.140645140150906*(8350/2783.333)</f>
        <v>0.42193547098391126</v>
      </c>
      <c r="AW241" s="2">
        <f>0.137403279059577*(8350/2783.333)</f>
        <v>0.41220988654518448</v>
      </c>
    </row>
    <row r="242" spans="1:49" x14ac:dyDescent="0.25">
      <c r="A242" s="5">
        <v>45864</v>
      </c>
      <c r="B242" s="2">
        <f>0.755074170526539*(8350/2783.333)</f>
        <v>2.2652227828637828</v>
      </c>
      <c r="C242" s="2">
        <f>0.452223248886348*(8350/2783.333)</f>
        <v>1.3566699091344812</v>
      </c>
      <c r="D242" s="2">
        <f>0.517574176600912*(8350/2783.333)</f>
        <v>1.5527227157575516</v>
      </c>
      <c r="E242" s="2">
        <f>0.379894964253506*(8350/2783.333)</f>
        <v>1.1396850292497418</v>
      </c>
      <c r="F242" s="2">
        <f>0.305821465116081*(8350/2783.333)</f>
        <v>0.91746450522423273</v>
      </c>
      <c r="G242" s="2">
        <f>0.295651839994911*(8350/2783.333)</f>
        <v>0.88695562620696367</v>
      </c>
      <c r="H242" s="2">
        <f>0.304643567621126*(8350/2783.333)</f>
        <v>0.91393081231617135</v>
      </c>
      <c r="I242" s="2">
        <f>0.308017502130592*(8350/2783.333)</f>
        <v>0.92405261705676001</v>
      </c>
      <c r="J242" s="2">
        <f>0.254304015317641*(8350/2783.333)</f>
        <v>0.76291213731964513</v>
      </c>
      <c r="K242" s="2">
        <f>0.338885693689103*(8350/2783.333)</f>
        <v>1.0166572028226626</v>
      </c>
      <c r="L242" s="2">
        <f>0.272099199039752*(8350/2783.333)</f>
        <v>0.81629769487945858</v>
      </c>
      <c r="M242" s="2">
        <f>0.596508292150169*(8350/2783.333)</f>
        <v>1.789525090764889</v>
      </c>
      <c r="N242" s="2">
        <f>0.56065662502467*(8350/2783.333)</f>
        <v>1.6819700765075527</v>
      </c>
      <c r="O242" s="2">
        <f>0.328261452729409*(8350/2783.333)</f>
        <v>0.98478447612648723</v>
      </c>
      <c r="P242" s="2">
        <f>0.582372805505799*(8350/2783.333)</f>
        <v>1.7471186257531617</v>
      </c>
      <c r="Q242" s="2">
        <f>0.229698537908446*(8350/2783.333)</f>
        <v>0.6890956962517687</v>
      </c>
      <c r="R242" s="2">
        <f>0.195395917013909*(8350/2783.333)</f>
        <v>0.58618782124386071</v>
      </c>
      <c r="S242" s="2">
        <f>0.0171030625041509*(8350/2783.333)</f>
        <v>5.1309193657266189E-2</v>
      </c>
      <c r="T242" s="2">
        <f t="shared" si="49"/>
        <v>0.10069243236843764</v>
      </c>
      <c r="U242" s="2">
        <f t="shared" si="50"/>
        <v>0.11437794326585224</v>
      </c>
      <c r="V242" s="2">
        <f t="shared" si="51"/>
        <v>0.11043877033537902</v>
      </c>
      <c r="W242" s="2">
        <f t="shared" si="52"/>
        <v>0.10705744606724045</v>
      </c>
      <c r="X242" s="2">
        <f t="shared" si="53"/>
        <v>0.11728533803050227</v>
      </c>
      <c r="Y242" s="2">
        <f t="shared" si="54"/>
        <v>0.10928020503416074</v>
      </c>
      <c r="Z242" s="2">
        <f t="shared" si="55"/>
        <v>0.10579568013572224</v>
      </c>
      <c r="AA242" s="2">
        <f t="shared" si="56"/>
        <v>0.11798772791544039</v>
      </c>
      <c r="AB242" s="2">
        <f t="shared" si="57"/>
        <v>0.10026757173055721</v>
      </c>
      <c r="AC242" s="2">
        <f t="shared" si="58"/>
        <v>0.1151901624778385</v>
      </c>
      <c r="AD242" s="2">
        <f t="shared" si="59"/>
        <v>0.10227444344259566</v>
      </c>
      <c r="AE242" s="2">
        <f t="shared" si="60"/>
        <v>0.10987695088187602</v>
      </c>
      <c r="AF242" s="2">
        <f t="shared" si="61"/>
        <v>0.11908712371493149</v>
      </c>
      <c r="AG242" s="2">
        <f t="shared" si="62"/>
        <v>9.9235315312320327E-2</v>
      </c>
      <c r="AH242" s="2">
        <f t="shared" si="63"/>
        <v>0.1199891551819615</v>
      </c>
      <c r="AI242" s="2">
        <f t="shared" si="64"/>
        <v>0.10099811712417744</v>
      </c>
      <c r="AJ242" s="2">
        <f>0.0385067980575169*(8350/2783.333)</f>
        <v>0.11552040800733016</v>
      </c>
      <c r="AK242" s="2">
        <f>0.0857358186837168*(8350/2783.333)</f>
        <v>0.25720748685444234</v>
      </c>
      <c r="AL242" s="2">
        <f>0.0870917487685554*(8350/2783.333)</f>
        <v>0.26127527759611874</v>
      </c>
      <c r="AM242" s="2">
        <f>0.0994780259657867*(8350/2783.333)</f>
        <v>0.29843411363797251</v>
      </c>
      <c r="AN242" s="2">
        <f>0.0093166496187615*(8350/2783.333)</f>
        <v>2.794995220358417E-2</v>
      </c>
      <c r="AO242" s="2">
        <f>0.0241768404318174*(8350/2783.333)</f>
        <v>7.2530529981743308E-2</v>
      </c>
      <c r="AP242" s="2">
        <f>0.0706322559997802*(8350/2783.333)</f>
        <v>0.21189679337620201</v>
      </c>
      <c r="AQ242" s="2">
        <f>0.115696492229723*(8350/2783.333)</f>
        <v>0.34708951825677475</v>
      </c>
      <c r="AR242" s="2">
        <f>0.120708318309526*(8350/2783.333)</f>
        <v>0.36212499829684125</v>
      </c>
      <c r="AS242" s="2">
        <f>0.266578710491018*(8350/2783.333)</f>
        <v>0.7997362272498485</v>
      </c>
      <c r="AT242" s="2">
        <f>0.178705805474697*(8350/2783.333)</f>
        <v>0.53611748062977616</v>
      </c>
      <c r="AU242" s="2">
        <f>0.260902943728256*(8350/2783.333)</f>
        <v>0.7827089249223641</v>
      </c>
      <c r="AV242" s="2">
        <f>0.153501469041352*(8350/2783.333)</f>
        <v>0.4605044622742907</v>
      </c>
      <c r="AW242" s="2">
        <f>0.138180446927561*(8350/2783.333)</f>
        <v>0.4145413904283588</v>
      </c>
    </row>
    <row r="243" spans="1:49" x14ac:dyDescent="0.25">
      <c r="A243" s="5">
        <v>45865</v>
      </c>
      <c r="B243" s="2">
        <f>0.405321199763164*(8350/2783.333)</f>
        <v>1.2159637449138918</v>
      </c>
      <c r="C243" s="2">
        <f>0.41473821869173*(8350/2783.333)</f>
        <v>1.2442148050829518</v>
      </c>
      <c r="D243" s="2">
        <f>0.342702175889946*(8350/2783.333)</f>
        <v>1.0281066507963827</v>
      </c>
      <c r="E243" s="2">
        <f>0.413714881802903*(8350/2783.333)</f>
        <v>1.2411447940488045</v>
      </c>
      <c r="F243" s="2">
        <f>0.348784889334177*(8350/2783.333)</f>
        <v>1.0463547933144828</v>
      </c>
      <c r="G243" s="2">
        <f>0.335451126148072*(8350/2783.333)</f>
        <v>1.0063534989655927</v>
      </c>
      <c r="H243" s="2">
        <f>0.318013504758104*(8350/2783.333)</f>
        <v>0.95404062853067439</v>
      </c>
      <c r="I243" s="2">
        <f>0.298697759252208*(8350/2783.333)</f>
        <v>0.89609338507319669</v>
      </c>
      <c r="J243" s="2">
        <f>0.244401210982842*(8350/2783.333)</f>
        <v>0.73320372075735418</v>
      </c>
      <c r="K243" s="2">
        <f>0.315315591345966*(8350/2783.333)</f>
        <v>0.94594688732495036</v>
      </c>
      <c r="L243" s="2">
        <f>0.280004221641824*(8350/2783.333)</f>
        <v>0.84001276552580417</v>
      </c>
      <c r="M243" s="2">
        <f>0.343631069333184*(8350/2783.333)</f>
        <v>1.0308933314598323</v>
      </c>
      <c r="N243" s="2">
        <f>0.45664162220913*(8350/2783.333)</f>
        <v>1.3699250306902691</v>
      </c>
      <c r="O243" s="2">
        <f>0.392862104753961*(8350/2783.333)</f>
        <v>1.1785864554099608</v>
      </c>
      <c r="P243" s="2">
        <f>0.474174749116491*(8350/2783.333)</f>
        <v>1.4225244177116789</v>
      </c>
      <c r="Q243" s="2">
        <f>0.0787672604326704*(8350/2783.333)</f>
        <v>0.236301809597629</v>
      </c>
      <c r="R243" s="2">
        <f>0.00744365398148224*(8350/2783.333)</f>
        <v>2.2330964618813749E-2</v>
      </c>
      <c r="S243" s="2">
        <f>0.00570102083471695*(8350/2783.333)</f>
        <v>1.7103064552422064E-2</v>
      </c>
      <c r="T243" s="2">
        <f t="shared" si="49"/>
        <v>0.10069243236843764</v>
      </c>
      <c r="U243" s="2">
        <f t="shared" si="50"/>
        <v>0.11437794326585224</v>
      </c>
      <c r="V243" s="2">
        <f t="shared" si="51"/>
        <v>0.11043877033537902</v>
      </c>
      <c r="W243" s="2">
        <f t="shared" si="52"/>
        <v>0.10705744606724045</v>
      </c>
      <c r="X243" s="2">
        <f t="shared" si="53"/>
        <v>0.11728533803050227</v>
      </c>
      <c r="Y243" s="2">
        <f t="shared" si="54"/>
        <v>0.10928020503416074</v>
      </c>
      <c r="Z243" s="2">
        <f t="shared" si="55"/>
        <v>0.10579568013572224</v>
      </c>
      <c r="AA243" s="2">
        <f t="shared" si="56"/>
        <v>0.11798772791544039</v>
      </c>
      <c r="AB243" s="2">
        <f t="shared" si="57"/>
        <v>0.10026757173055721</v>
      </c>
      <c r="AC243" s="2">
        <f t="shared" si="58"/>
        <v>0.1151901624778385</v>
      </c>
      <c r="AD243" s="2">
        <f t="shared" si="59"/>
        <v>0.10227444344259566</v>
      </c>
      <c r="AE243" s="2">
        <f t="shared" si="60"/>
        <v>0.10987695088187602</v>
      </c>
      <c r="AF243" s="2">
        <f t="shared" si="61"/>
        <v>0.11908712371493149</v>
      </c>
      <c r="AG243" s="2">
        <f t="shared" si="62"/>
        <v>9.9235315312320327E-2</v>
      </c>
      <c r="AH243" s="2">
        <f t="shared" si="63"/>
        <v>0.1199891551819615</v>
      </c>
      <c r="AI243" s="2">
        <f t="shared" si="64"/>
        <v>0.10099811712417744</v>
      </c>
      <c r="AJ243" s="2">
        <f>0.00894449246217913*(8350/2783.333)</f>
        <v>2.6833480600127881E-2</v>
      </c>
      <c r="AK243" s="2">
        <f>0.00269798030822885*(8350/2783.333)</f>
        <v>8.093941894020908E-3</v>
      </c>
      <c r="AL243" s="2">
        <f>0.0129344181339439*(8350/2783.333)</f>
        <v>3.8803259048928535E-2</v>
      </c>
      <c r="AM243" s="2">
        <f>0.0267698342299958*(8350/2783.333)</f>
        <v>8.0309512307892947E-2</v>
      </c>
      <c r="AN243" s="2">
        <f>0.0574526726490293*(8350/2783.333)</f>
        <v>0.17235803858876902</v>
      </c>
      <c r="AO243" s="2">
        <f>0.00567111071857446*(8350/2783.333)</f>
        <v>1.7013334193248426E-2</v>
      </c>
      <c r="AP243" s="2">
        <f>0.0916220301883941*(8350/2783.333)</f>
        <v>0.27486612348328093</v>
      </c>
      <c r="AQ243" s="2">
        <f>0.11383315194491*(8350/2783.333)</f>
        <v>0.34149949673287361</v>
      </c>
      <c r="AR243" s="2">
        <f>0.115808115942428*(8350/2783.333)</f>
        <v>0.34742438943499382</v>
      </c>
      <c r="AS243" s="2">
        <f>0.139881470523031*(8350/2783.333)</f>
        <v>0.41964446182591564</v>
      </c>
      <c r="AT243" s="2">
        <f>0.204282049194011*(8350/2783.333)</f>
        <v>0.61284622097679031</v>
      </c>
      <c r="AU243" s="2">
        <f>0.178800618778805*(8350/2783.333)</f>
        <v>0.53640192057616531</v>
      </c>
      <c r="AV243" s="2">
        <f>0.126084960443653*(8350/2783.333)</f>
        <v>0.37825492663095112</v>
      </c>
      <c r="AW243" s="2">
        <f>0.118595816654364*(8350/2783.333)</f>
        <v>0.35578749257237102</v>
      </c>
    </row>
    <row r="244" spans="1:49" x14ac:dyDescent="0.25">
      <c r="A244" s="5">
        <v>45866</v>
      </c>
      <c r="B244" s="2">
        <f>0.305391779545057*(8350/2783.333)</f>
        <v>0.91617544835678033</v>
      </c>
      <c r="C244" s="2">
        <f>0.315739292793125*(8350/2783.333)</f>
        <v>0.94721799181865485</v>
      </c>
      <c r="D244" s="2">
        <f>0.238639643028387*(8350/2783.333)</f>
        <v>0.71591901482396569</v>
      </c>
      <c r="E244" s="2">
        <f>0.296503386734443*(8350/2783.333)</f>
        <v>0.88951026673150579</v>
      </c>
      <c r="F244" s="2">
        <f>0.258952275059977*(8350/2783.333)</f>
        <v>0.77685691821668756</v>
      </c>
      <c r="G244" s="2">
        <f>0.316499085122757*(8350/2783.333)</f>
        <v>0.94949736908053184</v>
      </c>
      <c r="H244" s="2">
        <f>0.312761029454291*(8350/2783.333)</f>
        <v>0.93828320073211913</v>
      </c>
      <c r="I244" s="2">
        <f>0.310347437850188*(8350/2783.333)</f>
        <v>0.93104242505265078</v>
      </c>
      <c r="J244" s="2">
        <f>0.26420681965244*(8350/2783.333)</f>
        <v>0.7926205538819372</v>
      </c>
      <c r="K244" s="2">
        <f>0.343075934105661*(8350/2783.333)</f>
        <v>1.0292279255778114</v>
      </c>
      <c r="L244" s="2">
        <f>0.33034673400239*(8350/2783.333)</f>
        <v>0.99104032069463288</v>
      </c>
      <c r="M244" s="2">
        <f>0.68770269131936*(8350/2783.333)</f>
        <v>2.0631083210369208</v>
      </c>
      <c r="N244" s="2">
        <f>0.551988708123375*(8350/2783.333)</f>
        <v>1.6559663226894452</v>
      </c>
      <c r="O244" s="2">
        <f>0.553988149629151*(8350/2783.333)</f>
        <v>1.661964647925136</v>
      </c>
      <c r="P244" s="2">
        <f>0.436240769187172*(8350/2783.333)</f>
        <v>1.3087224642947444</v>
      </c>
      <c r="Q244" s="2">
        <f>0.109425176169937*(8350/2783.333)</f>
        <v>0.32827556782425088</v>
      </c>
      <c r="R244" s="2">
        <f>0.119098463703716*(8350/2783.333)</f>
        <v>0.35729543390102003</v>
      </c>
      <c r="S244" s="2">
        <f>0.0285051041735848*(8350/2783.333)</f>
        <v>8.5515322762110338E-2</v>
      </c>
      <c r="T244" s="2">
        <f t="shared" si="49"/>
        <v>0.10069243236843764</v>
      </c>
      <c r="U244" s="2">
        <f t="shared" si="50"/>
        <v>0.11437794326585224</v>
      </c>
      <c r="V244" s="2">
        <f t="shared" si="51"/>
        <v>0.11043877033537902</v>
      </c>
      <c r="W244" s="2">
        <f t="shared" si="52"/>
        <v>0.10705744606724045</v>
      </c>
      <c r="X244" s="2">
        <f t="shared" si="53"/>
        <v>0.11728533803050227</v>
      </c>
      <c r="Y244" s="2">
        <f t="shared" si="54"/>
        <v>0.10928020503416074</v>
      </c>
      <c r="Z244" s="2">
        <f t="shared" si="55"/>
        <v>0.10579568013572224</v>
      </c>
      <c r="AA244" s="2">
        <f t="shared" si="56"/>
        <v>0.11798772791544039</v>
      </c>
      <c r="AB244" s="2">
        <f t="shared" si="57"/>
        <v>0.10026757173055721</v>
      </c>
      <c r="AC244" s="2">
        <f t="shared" si="58"/>
        <v>0.1151901624778385</v>
      </c>
      <c r="AD244" s="2">
        <f t="shared" si="59"/>
        <v>0.10227444344259566</v>
      </c>
      <c r="AE244" s="2">
        <f t="shared" si="60"/>
        <v>0.10987695088187602</v>
      </c>
      <c r="AF244" s="2">
        <f t="shared" si="61"/>
        <v>0.11908712371493149</v>
      </c>
      <c r="AG244" s="2">
        <f t="shared" si="62"/>
        <v>9.9235315312320327E-2</v>
      </c>
      <c r="AH244" s="2">
        <f t="shared" si="63"/>
        <v>0.1199891551819615</v>
      </c>
      <c r="AI244" s="2">
        <f t="shared" si="64"/>
        <v>0.10099811712417744</v>
      </c>
      <c r="AJ244" s="2">
        <f>0.0165245708199581*(8350/2783.333)</f>
        <v>4.957371839684644E-2</v>
      </c>
      <c r="AK244" s="2">
        <f>0.013190125951341*(8350/2783.333)</f>
        <v>3.9570382592991095E-2</v>
      </c>
      <c r="AL244" s="2">
        <f>0.0767442142614004*(8350/2783.333)</f>
        <v>0.23023267035697598</v>
      </c>
      <c r="AM244" s="2">
        <f>0.120959991705907*(8350/2783.333)</f>
        <v>0.36288001857640523</v>
      </c>
      <c r="AN244" s="2">
        <f>0.0857131764926058*(8350/2783.333)</f>
        <v>0.25713956027297435</v>
      </c>
      <c r="AO244" s="2">
        <f>0.0149239755751959*(8350/2783.333)</f>
        <v>4.4771932087495858E-2</v>
      </c>
      <c r="AP244" s="2">
        <f>0.0864578793959573*(8350/2783.333)</f>
        <v>0.25937366925058691</v>
      </c>
      <c r="AQ244" s="2">
        <f>0.140597494217672*(8350/2783.333)</f>
        <v>0.42179253316709059</v>
      </c>
      <c r="AR244" s="2">
        <f>0.261507466324156*(8350/2783.333)</f>
        <v>0.78452249292725695</v>
      </c>
      <c r="AS244" s="2">
        <f>0.232814217606149*(8350/2783.333)</f>
        <v>0.69844273646428245</v>
      </c>
      <c r="AT244" s="2">
        <f>0.241662713091471*(8350/2783.333)</f>
        <v>0.7249882260993491</v>
      </c>
      <c r="AU244" s="2">
        <f>0.186098603218756*(8350/2783.333)</f>
        <v>0.55829587651804991</v>
      </c>
      <c r="AV244" s="2">
        <f>0.148080125533332*(8350/2783.333)</f>
        <v>0.44424042980244394</v>
      </c>
      <c r="AW244" s="2">
        <f>0.141599985546691*(8350/2783.333)</f>
        <v>0.42480000751432473</v>
      </c>
    </row>
    <row r="245" spans="1:49" x14ac:dyDescent="0.25">
      <c r="A245" s="5">
        <v>45867</v>
      </c>
      <c r="B245" s="2">
        <f>0.420263916805124*(8350/2783.333)</f>
        <v>1.2607919014084132</v>
      </c>
      <c r="C245" s="2">
        <f>0.409932445589856*(8350/2783.333)</f>
        <v>1.229797484050704</v>
      </c>
      <c r="D245" s="2">
        <f>0.32979216241464*(8350/2783.333)</f>
        <v>0.98937660573213593</v>
      </c>
      <c r="E245" s="2">
        <f>0.377578531544643*(8350/2783.333)</f>
        <v>1.1327357302909022</v>
      </c>
      <c r="F245" s="2">
        <f>0.32769375380893*(8350/2783.333)</f>
        <v>0.9830813791610874</v>
      </c>
      <c r="G245" s="2">
        <f>0.390412045121485*(8350/2783.333)</f>
        <v>1.1712362756322723</v>
      </c>
      <c r="H245" s="2">
        <f>0.350005854335871*(8350/2783.333)</f>
        <v>1.0500176887582351</v>
      </c>
      <c r="I245" s="2">
        <f>0.369993792271846*(8350/2783.333)</f>
        <v>1.1099815097474541</v>
      </c>
      <c r="J245" s="2">
        <f>0.321643084794275*(8350/2783.333)</f>
        <v>0.96492936994322787</v>
      </c>
      <c r="K245" s="2">
        <f>0.41692892144749*(8350/2783.333)</f>
        <v>1.2507869141373102</v>
      </c>
      <c r="L245" s="2">
        <f>0.434360189292815*(8350/2783.333)</f>
        <v>1.3030807239360167</v>
      </c>
      <c r="M245" s="2">
        <f>0.543201421138226*(8350/2783.333)</f>
        <v>1.6296044585768892</v>
      </c>
      <c r="N245" s="2">
        <f>0.331350823363139*(8350/2783.333)</f>
        <v>0.99405258913763272</v>
      </c>
      <c r="O245" s="2">
        <f>0.249764148815855*(8350/2783.333)</f>
        <v>0.74929253618319724</v>
      </c>
      <c r="P245" s="2">
        <f>0.601339795470459*(8350/2783.333)</f>
        <v>1.8040196024616288</v>
      </c>
      <c r="Q245" s="2">
        <f>0.212718769192421*(8350/2783.333)</f>
        <v>0.63815638400317787</v>
      </c>
      <c r="R245" s="2">
        <f>0.0580605010555615*(8350/2783.333)</f>
        <v>0.17418152402674725</v>
      </c>
      <c r="S245" s="2">
        <f>0.0469949014753695*(8350/2783.333)</f>
        <v>0.14098472131050624</v>
      </c>
      <c r="T245" s="2">
        <f t="shared" si="49"/>
        <v>0.10069243236843764</v>
      </c>
      <c r="U245" s="2">
        <f t="shared" si="50"/>
        <v>0.11437794326585224</v>
      </c>
      <c r="V245" s="2">
        <f t="shared" si="51"/>
        <v>0.11043877033537902</v>
      </c>
      <c r="W245" s="2">
        <f t="shared" si="52"/>
        <v>0.10705744606724045</v>
      </c>
      <c r="X245" s="2">
        <f t="shared" si="53"/>
        <v>0.11728533803050227</v>
      </c>
      <c r="Y245" s="2">
        <f t="shared" si="54"/>
        <v>0.10928020503416074</v>
      </c>
      <c r="Z245" s="2">
        <f t="shared" si="55"/>
        <v>0.10579568013572224</v>
      </c>
      <c r="AA245" s="2">
        <f t="shared" si="56"/>
        <v>0.11798772791544039</v>
      </c>
      <c r="AB245" s="2">
        <f t="shared" si="57"/>
        <v>0.10026757173055721</v>
      </c>
      <c r="AC245" s="2">
        <f t="shared" si="58"/>
        <v>0.1151901624778385</v>
      </c>
      <c r="AD245" s="2">
        <f t="shared" si="59"/>
        <v>0.10227444344259566</v>
      </c>
      <c r="AE245" s="2">
        <f t="shared" si="60"/>
        <v>0.10987695088187602</v>
      </c>
      <c r="AF245" s="2">
        <f t="shared" si="61"/>
        <v>0.11908712371493149</v>
      </c>
      <c r="AG245" s="2">
        <f t="shared" si="62"/>
        <v>9.9235315312320327E-2</v>
      </c>
      <c r="AH245" s="2">
        <f t="shared" si="63"/>
        <v>0.1199891551819615</v>
      </c>
      <c r="AI245" s="2">
        <f t="shared" si="64"/>
        <v>0.10099811712417744</v>
      </c>
      <c r="AJ245" s="2">
        <f>0.0100057034322682*(8350/2783.333)</f>
        <v>3.001711389166848E-2</v>
      </c>
      <c r="AK245" s="2">
        <f>0.116013153253841*(8350/2783.333)</f>
        <v>0.34803950144289919</v>
      </c>
      <c r="AL245" s="2">
        <f>0.0569114397893531*(8350/2783.333)</f>
        <v>0.17073433981528555</v>
      </c>
      <c r="AM245" s="2">
        <f>0.210853756033794*(8350/2783.333)</f>
        <v>0.63256134385723062</v>
      </c>
      <c r="AN245" s="2">
        <f>0.123290329954944*(8350/2783.333)</f>
        <v>0.36987103416076361</v>
      </c>
      <c r="AO245" s="2">
        <f>0.0567111071857446*(8350/2783.333)</f>
        <v>0.17013334193248433</v>
      </c>
      <c r="AP245" s="2">
        <f>0.0951203258864964*(8350/2783.333)</f>
        <v>0.28536101183446072</v>
      </c>
      <c r="AQ245" s="2">
        <f>0.0874075988148417*(8350/2783.333)</f>
        <v>0.26222282784845652</v>
      </c>
      <c r="AR245" s="2">
        <f>0.222795867624078*(8350/2783.333)</f>
        <v>0.6683876829186628</v>
      </c>
      <c r="AS245" s="2">
        <f>0.148402985393975*(8350/2783.333)</f>
        <v>0.44520900950036779</v>
      </c>
      <c r="AT245" s="2">
        <f>0.188214921729314*(8350/2783.333)</f>
        <v>0.56464483281007638</v>
      </c>
      <c r="AU245" s="2">
        <f>0.144632782537215*(8350/2783.333)</f>
        <v>0.43389839957552523</v>
      </c>
      <c r="AV245" s="2">
        <f>0.105174064055578*(8350/2783.333)</f>
        <v>0.315522229953828</v>
      </c>
      <c r="AW245" s="2">
        <f>0.125434893892623*(8350/2783.333)</f>
        <v>0.3763047267443031</v>
      </c>
    </row>
    <row r="246" spans="1:49" x14ac:dyDescent="0.25">
      <c r="A246" s="5">
        <v>45868</v>
      </c>
      <c r="B246" s="2">
        <f>0.327805855107996*(8350/2783.333)</f>
        <v>0.98341768309856226</v>
      </c>
      <c r="C246" s="2">
        <f>0.298438509626378*(8350/2783.333)</f>
        <v>0.8953156361025647</v>
      </c>
      <c r="D246" s="2">
        <f>0.250376018915029*(8350/2783.333)</f>
        <v>0.75112814670055394</v>
      </c>
      <c r="E246" s="2">
        <f>0.303915971402805*(8350/2783.333)</f>
        <v>0.91174802339979355</v>
      </c>
      <c r="F246" s="2">
        <f>0.259342851643778*(8350/2783.333)</f>
        <v>0.77802864810841699</v>
      </c>
      <c r="G246" s="2">
        <f>0.32028949332782*(8350/2783.333)</f>
        <v>0.96086859505754418</v>
      </c>
      <c r="H246" s="2">
        <f>0.308941047415155*(8350/2783.333)</f>
        <v>0.92682325324226145</v>
      </c>
      <c r="I246" s="2">
        <f>0.308949476418431*(8350/2783.333)</f>
        <v>0.92684854025511676</v>
      </c>
      <c r="J246" s="2">
        <f>0.263810707479048*(8350/2783.333)</f>
        <v>0.79143221721944512</v>
      </c>
      <c r="K246" s="2">
        <f>0.331028992908057*(8350/2783.333)</f>
        <v>0.99308709765675862</v>
      </c>
      <c r="L246" s="2">
        <f>0.231741978387067*(8350/2783.333)</f>
        <v>0.69522601842180232</v>
      </c>
      <c r="M246" s="2">
        <f>0.531306499507462*(8350/2783.333)</f>
        <v>1.5939196894109715</v>
      </c>
      <c r="N246" s="2">
        <f>0.35065663827966*(8350/2783.333)</f>
        <v>1.0519700408234161</v>
      </c>
      <c r="O246" s="2">
        <f>0.298590223020458*(8350/2783.333)</f>
        <v>0.89577077633931035</v>
      </c>
      <c r="P246" s="2">
        <f>0.404772808563986*(8350/2783.333)</f>
        <v>1.2143185711193327</v>
      </c>
      <c r="Q246" s="2">
        <f>0.0367894988847203*(8350/2783.333)</f>
        <v>0.11036850987194645</v>
      </c>
      <c r="R246" s="2">
        <f>0.128775213879643*(8350/2783.333)</f>
        <v>0.3863256879054775</v>
      </c>
      <c r="S246" s="2">
        <f>0.0043142860370831*(8350/2783.333)</f>
        <v>1.2942859661292374E-2</v>
      </c>
      <c r="T246" s="2">
        <f t="shared" si="49"/>
        <v>0.10069243236843764</v>
      </c>
      <c r="U246" s="2">
        <f t="shared" si="50"/>
        <v>0.11437794326585224</v>
      </c>
      <c r="V246" s="2">
        <f t="shared" si="51"/>
        <v>0.11043877033537902</v>
      </c>
      <c r="W246" s="2">
        <f t="shared" si="52"/>
        <v>0.10705744606724045</v>
      </c>
      <c r="X246" s="2">
        <f t="shared" si="53"/>
        <v>0.11728533803050227</v>
      </c>
      <c r="Y246" s="2">
        <f t="shared" si="54"/>
        <v>0.10928020503416074</v>
      </c>
      <c r="Z246" s="2">
        <f t="shared" si="55"/>
        <v>0.10579568013572224</v>
      </c>
      <c r="AA246" s="2">
        <f t="shared" si="56"/>
        <v>0.11798772791544039</v>
      </c>
      <c r="AB246" s="2">
        <f t="shared" si="57"/>
        <v>0.10026757173055721</v>
      </c>
      <c r="AC246" s="2">
        <f t="shared" si="58"/>
        <v>0.1151901624778385</v>
      </c>
      <c r="AD246" s="2">
        <f t="shared" si="59"/>
        <v>0.10227444344259566</v>
      </c>
      <c r="AE246" s="2">
        <f t="shared" si="60"/>
        <v>0.10987695088187602</v>
      </c>
      <c r="AF246" s="2">
        <f t="shared" si="61"/>
        <v>0.11908712371493149</v>
      </c>
      <c r="AG246" s="2">
        <f t="shared" si="62"/>
        <v>9.9235315312320327E-2</v>
      </c>
      <c r="AH246" s="2">
        <f t="shared" si="63"/>
        <v>0.1199891551819615</v>
      </c>
      <c r="AI246" s="2">
        <f t="shared" si="64"/>
        <v>0.10099811712417744</v>
      </c>
      <c r="AJ246" s="2">
        <f>0.00545765641760083*(8350/2783.333)</f>
        <v>1.6372971213637354E-2</v>
      </c>
      <c r="AK246" s="2">
        <f>0.0938297596084034*(8350/2783.333)</f>
        <v>0.28148931253650505</v>
      </c>
      <c r="AL246" s="2">
        <f>0.202639217431787*(8350/2783.333)</f>
        <v>0.60791772509988018</v>
      </c>
      <c r="AM246" s="2">
        <f>0.0760131095419633*(8350/2783.333)</f>
        <v>0.22803935593599228</v>
      </c>
      <c r="AN246" s="2">
        <f>0.00776387468230125*(8350/2783.333)</f>
        <v>2.3291626836320144E-2</v>
      </c>
      <c r="AO246" s="2">
        <f>0.117750167288296*(8350/2783.333)</f>
        <v>0.35325054417034241</v>
      </c>
      <c r="AP246" s="2">
        <f>0.0609702964526405*(8350/2783.333)</f>
        <v>0.18291091126341971</v>
      </c>
      <c r="AQ246" s="2">
        <f>0.0904567010990803*(8350/2783.333)</f>
        <v>0.27137013579665842</v>
      </c>
      <c r="AR246" s="2">
        <f>0.103067589787971*(8350/2783.333)</f>
        <v>0.3092028063941904</v>
      </c>
      <c r="AS246" s="2">
        <f>0.143901053009325*(8350/2783.333)</f>
        <v>0.43170321072895917</v>
      </c>
      <c r="AT246" s="2">
        <f>0.146899451105806*(8350/2783.333)</f>
        <v>0.44069840609566935</v>
      </c>
      <c r="AU246" s="2">
        <f>0.125558505023706*(8350/2783.333)</f>
        <v>0.37667556018196408</v>
      </c>
      <c r="AV246" s="2">
        <f>0.102385944537168*(8350/2783.333)</f>
        <v>0.30715787039687797</v>
      </c>
      <c r="AW246" s="2">
        <f>0.0979231513659882*(8350/2783.333)</f>
        <v>0.29376948927993923</v>
      </c>
    </row>
    <row r="247" spans="1:49" x14ac:dyDescent="0.25">
      <c r="A247" s="5">
        <v>45869</v>
      </c>
      <c r="B247" s="2">
        <f>0.631329795022808*(8350/2783.333)</f>
        <v>1.8939896118935278</v>
      </c>
      <c r="C247" s="2">
        <f>1.21826348132507*(8350/2783.333)</f>
        <v>3.6547908816747197</v>
      </c>
      <c r="D247" s="2">
        <f>0.255852994328795*(8350/2783.333)</f>
        <v>0.7675590749096286</v>
      </c>
      <c r="E247" s="2">
        <f>0.289554088607855*(8350/2783.333)</f>
        <v>0.86866236985498624</v>
      </c>
      <c r="F247" s="2">
        <f>0.200365787489846*(8350/2783.333)</f>
        <v>0.60109743445725616</v>
      </c>
      <c r="G247" s="2">
        <f>0.216527068714222*(8350/2783.333)</f>
        <v>0.64958128393683046</v>
      </c>
      <c r="H247" s="2">
        <f>0.19577407950574*(8350/2783.333)</f>
        <v>0.58732230885522008</v>
      </c>
      <c r="I247" s="2">
        <f>0.223207841937297*(8350/2783.333)</f>
        <v>0.66962360600633597</v>
      </c>
      <c r="J247" s="2">
        <f>0.198452198869374*(8350/2783.333)</f>
        <v>0.59535666790832176</v>
      </c>
      <c r="K247" s="2">
        <f>0.261366245982786*(8350/2783.333)</f>
        <v>0.78409883185240914</v>
      </c>
      <c r="L247" s="2">
        <f>0.205114533832718*(8350/2783.333)</f>
        <v>0.61534367519200783</v>
      </c>
      <c r="M247" s="2">
        <f>0.259926065264845*(8350/2783.333)</f>
        <v>0.77977828918115522</v>
      </c>
      <c r="N247" s="2">
        <f>0.304165083990896*(8350/2783.333)</f>
        <v>0.91249536125356989</v>
      </c>
      <c r="O247" s="2">
        <f>0.874362313448586*(8350/2783.333)</f>
        <v>2.6230872544879431</v>
      </c>
      <c r="P247" s="2">
        <f>0.206050481888803*(8350/2783.333)</f>
        <v>0.61815151969652959</v>
      </c>
      <c r="Q247" s="2">
        <f>0.279222863330185*(8350/2783.333)</f>
        <v>0.837668690310158</v>
      </c>
      <c r="R247" s="2">
        <f>0.0472672027824122*(8350/2783.333)</f>
        <v>0.14180162532946727</v>
      </c>
      <c r="S247" s="2">
        <f>0.0192602055226924*(8350/2783.333)</f>
        <v>5.7780623487912373E-2</v>
      </c>
      <c r="T247" s="2">
        <f t="shared" si="49"/>
        <v>0.10069243236843764</v>
      </c>
      <c r="U247" s="2">
        <f t="shared" si="50"/>
        <v>0.11437794326585224</v>
      </c>
      <c r="V247" s="2">
        <f t="shared" si="51"/>
        <v>0.11043877033537902</v>
      </c>
      <c r="W247" s="2">
        <f t="shared" si="52"/>
        <v>0.10705744606724045</v>
      </c>
      <c r="X247" s="2">
        <f t="shared" si="53"/>
        <v>0.11728533803050227</v>
      </c>
      <c r="Y247" s="2">
        <f t="shared" si="54"/>
        <v>0.10928020503416074</v>
      </c>
      <c r="Z247" s="2">
        <f t="shared" si="55"/>
        <v>0.10579568013572224</v>
      </c>
      <c r="AA247" s="2">
        <f t="shared" si="56"/>
        <v>0.11798772791544039</v>
      </c>
      <c r="AB247" s="2">
        <f t="shared" si="57"/>
        <v>0.10026757173055721</v>
      </c>
      <c r="AC247" s="2">
        <f t="shared" si="58"/>
        <v>0.1151901624778385</v>
      </c>
      <c r="AD247" s="2">
        <f t="shared" si="59"/>
        <v>0.10227444344259566</v>
      </c>
      <c r="AE247" s="2">
        <f t="shared" si="60"/>
        <v>0.10987695088187602</v>
      </c>
      <c r="AF247" s="2">
        <f t="shared" si="61"/>
        <v>0.11908712371493149</v>
      </c>
      <c r="AG247" s="2">
        <f t="shared" si="62"/>
        <v>9.9235315312320327E-2</v>
      </c>
      <c r="AH247" s="2">
        <f t="shared" si="63"/>
        <v>0.1199891551819615</v>
      </c>
      <c r="AI247" s="2">
        <f t="shared" si="64"/>
        <v>0.10099811712417744</v>
      </c>
      <c r="AJ247" s="2">
        <f>0.0084896877607124*(8350/2783.333)</f>
        <v>2.546906633232477E-2</v>
      </c>
      <c r="AK247" s="2">
        <f>0.0362728463661879*(8350/2783.333)</f>
        <v>0.1088185521307256</v>
      </c>
      <c r="AL247" s="2">
        <f>0*(8350/2783.333)</f>
        <v>0</v>
      </c>
      <c r="AM247" s="2">
        <f>0.0700642574908531*(8350/2783.333)</f>
        <v>0.21019279764534934</v>
      </c>
      <c r="AN247" s="2">
        <f>0.0139749744281423*(8350/2783.333)</f>
        <v>4.1924928305376245E-2</v>
      </c>
      <c r="AO247" s="2">
        <f>0.00119391804601567*(8350/2783.333)</f>
        <v>3.5817545669996676E-3</v>
      </c>
      <c r="AP247" s="2">
        <f>0.0661344472450772*(8350/2783.333)</f>
        <v>0.1984033654961137</v>
      </c>
      <c r="AQ247" s="2">
        <f>0.0870688096721485*(8350/2783.333)</f>
        <v>0.2612064602986563</v>
      </c>
      <c r="AR247" s="2">
        <f>0.138512386909984*(8350/2783.333)</f>
        <v>0.41553721049488679</v>
      </c>
      <c r="AS247" s="2">
        <f>0.247606281155711*(8350/2783.333)</f>
        <v>0.74281893242748298</v>
      </c>
      <c r="AT247" s="2">
        <f>0.15050635727135*(8350/2783.333)</f>
        <v>0.45151912588819648</v>
      </c>
      <c r="AU247" s="2">
        <f>0.237018631015689*(8350/2783.333)</f>
        <v>0.71105597820347011</v>
      </c>
      <c r="AV247" s="2">
        <f>0.108891556746792*(8350/2783.333)</f>
        <v>0.32667470936309417</v>
      </c>
      <c r="AW247" s="2">
        <f>0.108337200796974*(8350/2783.333)</f>
        <v>0.32501164131447247</v>
      </c>
    </row>
    <row r="248" spans="1:49" x14ac:dyDescent="0.25">
      <c r="A248" s="5">
        <v>45870</v>
      </c>
      <c r="B248" s="2">
        <f>0.320801456494578*(8350/2783.333)</f>
        <v>0.96240448474175555</v>
      </c>
      <c r="C248" s="2">
        <f>0.365238755742427*(8350/2783.333)</f>
        <v>1.0957163984508032</v>
      </c>
      <c r="D248" s="2">
        <f>0.29262697210694*(8350/2783.333)</f>
        <v>0.87788102145627245</v>
      </c>
      <c r="E248" s="2">
        <f>0.294650240567353*(8350/2783.333)</f>
        <v>0.88395082756443388</v>
      </c>
      <c r="F248" s="2">
        <f>0.207005589414461*(8350/2783.333)</f>
        <v>0.62101684261665846</v>
      </c>
      <c r="G248" s="2">
        <f>0.245428931277827*(8350/2783.333)</f>
        <v>0.73628688201155013</v>
      </c>
      <c r="H248" s="2">
        <f>0.248298832543865*(8350/2783.333)</f>
        <v>0.74489658684076676</v>
      </c>
      <c r="I248" s="2">
        <f>0.23345955910352*(8350/2783.333)</f>
        <v>0.70037876118825526</v>
      </c>
      <c r="J248" s="2">
        <f>0.199244423216158*(8350/2783.333)</f>
        <v>0.59773334123330468</v>
      </c>
      <c r="K248" s="2">
        <f>0.268175386659692*(8350/2783.333)</f>
        <v>0.80452625632952612</v>
      </c>
      <c r="L248" s="2">
        <f>0.188888434807412*(8350/2783.333)</f>
        <v>0.56666537228635216</v>
      </c>
      <c r="M248" s="2">
        <f>0.283275355873381*(8350/2783.333)</f>
        <v>0.84982616939573363</v>
      </c>
      <c r="N248" s="2">
        <f>0.387298286998771*(8350/2783.333)</f>
        <v>1.1618950001454136</v>
      </c>
      <c r="O248" s="2">
        <f>0.116806992904858*(8350/2783.333)</f>
        <v>0.35042102068116421</v>
      </c>
      <c r="P248" s="2">
        <f>0.374166983848286*(8350/2783.333)</f>
        <v>1.1225010859761246</v>
      </c>
      <c r="Q248" s="2">
        <f>0.61362997498745*(8350/2783.333)</f>
        <v>1.8408901454282354</v>
      </c>
      <c r="R248" s="2">
        <f>0.0807636456990823*(8350/2783.333)</f>
        <v>0.24229096611412912</v>
      </c>
      <c r="S248" s="2">
        <f>0.0283510225294032*(8350/2783.333)</f>
        <v>8.5053077774207023E-2</v>
      </c>
      <c r="T248" s="2">
        <f t="shared" si="49"/>
        <v>0.10069243236843764</v>
      </c>
      <c r="U248" s="2">
        <f t="shared" si="50"/>
        <v>0.11437794326585224</v>
      </c>
      <c r="V248" s="2">
        <f t="shared" si="51"/>
        <v>0.11043877033537902</v>
      </c>
      <c r="W248" s="2">
        <f t="shared" si="52"/>
        <v>0.10705744606724045</v>
      </c>
      <c r="X248" s="2">
        <f t="shared" si="53"/>
        <v>0.11728533803050227</v>
      </c>
      <c r="Y248" s="2">
        <f t="shared" si="54"/>
        <v>0.10928020503416074</v>
      </c>
      <c r="Z248" s="2">
        <f t="shared" si="55"/>
        <v>0.10579568013572224</v>
      </c>
      <c r="AA248" s="2">
        <f t="shared" si="56"/>
        <v>0.11798772791544039</v>
      </c>
      <c r="AB248" s="2">
        <f t="shared" si="57"/>
        <v>0.10026757173055721</v>
      </c>
      <c r="AC248" s="2">
        <f t="shared" si="58"/>
        <v>0.1151901624778385</v>
      </c>
      <c r="AD248" s="2">
        <f t="shared" si="59"/>
        <v>0.10227444344259566</v>
      </c>
      <c r="AE248" s="2">
        <f t="shared" si="60"/>
        <v>0.10987695088187602</v>
      </c>
      <c r="AF248" s="2">
        <f t="shared" si="61"/>
        <v>0.11908712371493149</v>
      </c>
      <c r="AG248" s="2">
        <f t="shared" si="62"/>
        <v>9.9235315312320327E-2</v>
      </c>
      <c r="AH248" s="2">
        <f t="shared" si="63"/>
        <v>0.1199891551819615</v>
      </c>
      <c r="AI248" s="2">
        <f t="shared" si="64"/>
        <v>0.10099811712417744</v>
      </c>
      <c r="AJ248" s="2">
        <f>0.0245594538792037*(8350/2783.333)</f>
        <v>7.3678370461368103E-2</v>
      </c>
      <c r="AK248" s="2">
        <f>0*(8350/2783.333)</f>
        <v>0</v>
      </c>
      <c r="AL248" s="2">
        <f>0.000287431514087642*(8350/2783.333)</f>
        <v>8.6229464553174557E-4</v>
      </c>
      <c r="AM248" s="2">
        <f>0.000660983561234463*(8350/2783.333)</f>
        <v>1.9829509211825415E-3</v>
      </c>
      <c r="AN248" s="2">
        <f>0.2226679258884*(8350/2783.333)</f>
        <v>0.66800385766566139</v>
      </c>
      <c r="AO248" s="2">
        <f>0.0962596424600139*(8350/2783.333)</f>
        <v>0.28877896196434838</v>
      </c>
      <c r="AP248" s="2">
        <f>0.183077474867355*(8350/2783.333)</f>
        <v>0.54923249037841027</v>
      </c>
      <c r="AQ248" s="2">
        <f>0.114680124801643*(8350/2783.333)</f>
        <v>0.34404041560737425</v>
      </c>
      <c r="AR248" s="2">
        <f>0.156153115431538*(8350/2783.333)</f>
        <v>0.46845940239753764</v>
      </c>
      <c r="AS248" s="2">
        <f>0.121230607786627*(8350/2783.333)</f>
        <v>0.36369186691579353</v>
      </c>
      <c r="AT248" s="2">
        <f>0.146243649984798*(8350/2783.333)</f>
        <v>0.43873100249702784</v>
      </c>
      <c r="AU248" s="2">
        <f>0.135012712139098*(8350/2783.333)</f>
        <v>0.40503818492485988</v>
      </c>
      <c r="AV248" s="2">
        <f>0.103780004296373*(8350/2783.333)</f>
        <v>0.31134005017535288</v>
      </c>
      <c r="AW248" s="2">
        <f>0.0960579484828265*(8350/2783.333)</f>
        <v>0.2881738799603214</v>
      </c>
    </row>
    <row r="249" spans="1:49" x14ac:dyDescent="0.25">
      <c r="A249" s="5">
        <v>45871</v>
      </c>
      <c r="B249" s="2">
        <f>0.296519541301393*(8350/2783.333)</f>
        <v>0.8895587304381587</v>
      </c>
      <c r="C249" s="2">
        <f>0.3167004474135*(8350/2783.333)</f>
        <v>0.95010145602510454</v>
      </c>
      <c r="D249" s="2">
        <f>0.203039302838906*(8350/2783.333)</f>
        <v>0.60911798146498042</v>
      </c>
      <c r="E249" s="2">
        <f>0.211721949590063*(8350/2783.333)</f>
        <v>0.63516592483796586</v>
      </c>
      <c r="F249" s="2">
        <f>0.184352147554011*(8350/2783.333)</f>
        <v>0.5530565088963445</v>
      </c>
      <c r="G249" s="2">
        <f>0.260116763072446*(8350/2783.333)</f>
        <v>0.7803503826724727</v>
      </c>
      <c r="H249" s="2">
        <f>0.270263729268899*(8350/2783.333)</f>
        <v>0.81079128490744989</v>
      </c>
      <c r="I249" s="2">
        <f>0.251633057716369*(8350/2783.333)</f>
        <v>0.75489926355620351</v>
      </c>
      <c r="J249" s="2">
        <f>0.217069471018796*(8350/2783.333)</f>
        <v>0.65120849104542977</v>
      </c>
      <c r="K249" s="2">
        <f>0.281269887961435*(8350/2783.333)</f>
        <v>0.84380976493936632</v>
      </c>
      <c r="L249" s="2">
        <f>0.225501171069641*(8350/2783.333)</f>
        <v>0.67650359422731898</v>
      </c>
      <c r="M249" s="2">
        <f>0.263450486488775*(8350/2783.333)</f>
        <v>0.7903515541192051</v>
      </c>
      <c r="N249" s="2">
        <f>0.37311442297847*(8350/2783.333)</f>
        <v>1.1193434029885119</v>
      </c>
      <c r="O249" s="2">
        <f>0.177651793067517*(8350/2783.333)</f>
        <v>0.53295544302955167</v>
      </c>
      <c r="P249" s="2">
        <f>0.379770867246935*(8350/2783.333)</f>
        <v>1.1393127381854447</v>
      </c>
      <c r="Q249" s="2">
        <f>0.293372670593539*(8350/2783.333)</f>
        <v>0.88011811718398347</v>
      </c>
      <c r="R249" s="2">
        <f>0.23894129280558*(8350/2783.333)</f>
        <v>0.71682396426392136</v>
      </c>
      <c r="S249" s="2">
        <f>0.00369795946035694*(8350/2783.333)</f>
        <v>1.1093879709679174E-2</v>
      </c>
      <c r="T249" s="2">
        <f t="shared" si="49"/>
        <v>0.10069243236843764</v>
      </c>
      <c r="U249" s="2">
        <f t="shared" si="50"/>
        <v>0.11437794326585224</v>
      </c>
      <c r="V249" s="2">
        <f t="shared" si="51"/>
        <v>0.11043877033537902</v>
      </c>
      <c r="W249" s="2">
        <f t="shared" si="52"/>
        <v>0.10705744606724045</v>
      </c>
      <c r="X249" s="2">
        <f t="shared" si="53"/>
        <v>0.11728533803050227</v>
      </c>
      <c r="Y249" s="2">
        <f t="shared" si="54"/>
        <v>0.10928020503416074</v>
      </c>
      <c r="Z249" s="2">
        <f t="shared" si="55"/>
        <v>0.10579568013572224</v>
      </c>
      <c r="AA249" s="2">
        <f t="shared" si="56"/>
        <v>0.11798772791544039</v>
      </c>
      <c r="AB249" s="2">
        <f t="shared" si="57"/>
        <v>0.10026757173055721</v>
      </c>
      <c r="AC249" s="2">
        <f t="shared" si="58"/>
        <v>0.1151901624778385</v>
      </c>
      <c r="AD249" s="2">
        <f t="shared" si="59"/>
        <v>0.10227444344259566</v>
      </c>
      <c r="AE249" s="2">
        <f t="shared" si="60"/>
        <v>0.10987695088187602</v>
      </c>
      <c r="AF249" s="2">
        <f t="shared" si="61"/>
        <v>0.11908712371493149</v>
      </c>
      <c r="AG249" s="2">
        <f t="shared" si="62"/>
        <v>9.9235315312320327E-2</v>
      </c>
      <c r="AH249" s="2">
        <f t="shared" si="63"/>
        <v>0.1199891551819615</v>
      </c>
      <c r="AI249" s="2">
        <f t="shared" si="64"/>
        <v>0.10099811712417744</v>
      </c>
      <c r="AJ249" s="2">
        <f>0.0151601567155579*(8350/2783.333)</f>
        <v>4.5480475593437091E-2</v>
      </c>
      <c r="AK249" s="2">
        <f>0.0416688069826456*(8350/2783.333)</f>
        <v>0.12500643591876745</v>
      </c>
      <c r="AL249" s="2">
        <f>0.0215573635565731*(8350/2783.333)</f>
        <v>6.4672098414880877E-2</v>
      </c>
      <c r="AM249" s="2">
        <f>0.0317272109392542*(8350/2783.333)</f>
        <v>9.5181644216761924E-2</v>
      </c>
      <c r="AN249" s="2">
        <f>0.113042015374306*(8350/2783.333)</f>
        <v>0.33912608673682121</v>
      </c>
      <c r="AO249" s="2">
        <f>0.0540247915822093*(8350/2783.333)</f>
        <v>0.16207439415673502</v>
      </c>
      <c r="AP249" s="2">
        <f>0.0636356646035755*(8350/2783.333)</f>
        <v>0.19090701667384241</v>
      </c>
      <c r="AQ249" s="2">
        <f>0.113663757373564*(8350/2783.333)</f>
        <v>0.34099131295797347</v>
      </c>
      <c r="AR249" s="2">
        <f>0.126588561150044*(8350/2783.333)</f>
        <v>0.3797657289310582</v>
      </c>
      <c r="AS249" s="2">
        <f>0.127179589866342*(8350/2783.333)</f>
        <v>0.38153881529229788</v>
      </c>
      <c r="AT249" s="2">
        <f>0.123782461590271*(8350/2783.333)</f>
        <v>0.37134742924356051</v>
      </c>
      <c r="AU249" s="2">
        <f>0.139988610620882*(8350/2783.333)</f>
        <v>0.41996588215796238</v>
      </c>
      <c r="AV249" s="2">
        <f>0.129647557606066*(8350/2783.333)</f>
        <v>0.38894271939816499</v>
      </c>
      <c r="AW249" s="2">
        <f>0.099632920675553*(8350/2783.333)</f>
        <v>0.29889879782292234</v>
      </c>
    </row>
    <row r="250" spans="1:49" x14ac:dyDescent="0.25">
      <c r="A250" s="5">
        <v>45872</v>
      </c>
      <c r="B250" s="2">
        <f>0.298387380931638*(8350/2783.333)</f>
        <v>0.89516224999997362</v>
      </c>
      <c r="C250" s="2">
        <f>0.297477355006003*(8350/2783.333)</f>
        <v>0.89243217189611479</v>
      </c>
      <c r="D250" s="2">
        <f>0.243725405912599*(8350/2783.333)</f>
        <v>0.73117630530382072</v>
      </c>
      <c r="E250" s="2">
        <f>0.270096053853407*(8350/2783.333)</f>
        <v>0.81028825860073139</v>
      </c>
      <c r="F250" s="2">
        <f>0.20192809382505*(8350/2783.333)</f>
        <v>0.60578435402417408</v>
      </c>
      <c r="G250" s="2">
        <f>0.241638523072764*(8350/2783.333)</f>
        <v>0.72491565603453756</v>
      </c>
      <c r="H250" s="2">
        <f>0.226811433573723*(8350/2783.333)</f>
        <v>0.6804343822103156</v>
      </c>
      <c r="I250" s="2">
        <f>0.196646574733903*(8350/2783.333)</f>
        <v>0.58993979485318082</v>
      </c>
      <c r="J250" s="2">
        <f>0.193302740615278*(8350/2783.333)</f>
        <v>0.57990829129593002</v>
      </c>
      <c r="K250" s="2">
        <f>0.255080885357949*(8350/2783.333)</f>
        <v>0.76524274771968637</v>
      </c>
      <c r="L250" s="2">
        <f>0.20802691058085*(8350/2783.333)</f>
        <v>0.62408080648276631</v>
      </c>
      <c r="M250" s="2">
        <f>0.203094773028972*(8350/2783.333)</f>
        <v>0.60928439205510632</v>
      </c>
      <c r="N250" s="2">
        <f>0.128836764851066*(8350/2783.333)</f>
        <v>0.38651034084186187</v>
      </c>
      <c r="O250" s="2">
        <f>0.138590933703835*(8350/2783.333)</f>
        <v>0.41577285090466076</v>
      </c>
      <c r="P250" s="2">
        <f>0.0172427181496906*(8350/2783.333)</f>
        <v>5.1728160644061036E-2</v>
      </c>
      <c r="Q250" s="2">
        <f>0.251866569287701*(8350/2783.333)</f>
        <v>0.7555997983540953</v>
      </c>
      <c r="R250" s="2">
        <f>0.253084235370396*(8350/2783.333)</f>
        <v>0.75925279703966697</v>
      </c>
      <c r="S250" s="2">
        <f>0.0477653096962772*(8350/2783.333)</f>
        <v>0.1432959462500227</v>
      </c>
      <c r="T250" s="2">
        <f t="shared" si="49"/>
        <v>0.10069243236843764</v>
      </c>
      <c r="U250" s="2">
        <f t="shared" si="50"/>
        <v>0.11437794326585224</v>
      </c>
      <c r="V250" s="2">
        <f t="shared" si="51"/>
        <v>0.11043877033537902</v>
      </c>
      <c r="W250" s="2">
        <f t="shared" si="52"/>
        <v>0.10705744606724045</v>
      </c>
      <c r="X250" s="2">
        <f t="shared" si="53"/>
        <v>0.11728533803050227</v>
      </c>
      <c r="Y250" s="2">
        <f t="shared" si="54"/>
        <v>0.10928020503416074</v>
      </c>
      <c r="Z250" s="2">
        <f t="shared" si="55"/>
        <v>0.10579568013572224</v>
      </c>
      <c r="AA250" s="2">
        <f t="shared" si="56"/>
        <v>0.11798772791544039</v>
      </c>
      <c r="AB250" s="2">
        <f t="shared" si="57"/>
        <v>0.10026757173055721</v>
      </c>
      <c r="AC250" s="2">
        <f t="shared" si="58"/>
        <v>0.1151901624778385</v>
      </c>
      <c r="AD250" s="2">
        <f t="shared" si="59"/>
        <v>0.10227444344259566</v>
      </c>
      <c r="AE250" s="2">
        <f t="shared" si="60"/>
        <v>0.10987695088187602</v>
      </c>
      <c r="AF250" s="2">
        <f t="shared" si="61"/>
        <v>0.11908712371493149</v>
      </c>
      <c r="AG250" s="2">
        <f t="shared" si="62"/>
        <v>9.9235315312320327E-2</v>
      </c>
      <c r="AH250" s="2">
        <f t="shared" si="63"/>
        <v>0.1199891551819615</v>
      </c>
      <c r="AI250" s="2">
        <f t="shared" si="64"/>
        <v>0.10099811712417744</v>
      </c>
      <c r="AJ250" s="2">
        <f>0.000151601567155579*(8350/2783.333)</f>
        <v>4.5480475593437099E-4</v>
      </c>
      <c r="AK250" s="2">
        <f>0.130702157154198*(8350/2783.333)</f>
        <v>0.39210651842145755</v>
      </c>
      <c r="AL250" s="2">
        <f>0.0146590072184697*(8350/2783.333)</f>
        <v>4.3977026922118967E-2</v>
      </c>
      <c r="AM250" s="2">
        <f>0.168220316334171*(8350/2783.333)</f>
        <v>0.50466100944095693</v>
      </c>
      <c r="AN250" s="2">
        <f>0.0832287365942694*(8350/2783.333)</f>
        <v>0.24968623968535189</v>
      </c>
      <c r="AO250" s="2">
        <f>0.0779031525025228*(8350/2783.333)</f>
        <v>0.2337094854967284</v>
      </c>
      <c r="AP250" s="2">
        <f>0.0959532534336637*(8350/2783.333)</f>
        <v>0.28785979477521789</v>
      </c>
      <c r="AQ250" s="2">
        <f>0.122472275083586*(8350/2783.333)</f>
        <v>0.36741686925277889</v>
      </c>
      <c r="AR250" s="2">
        <f>0.1393290873045*(8350/2783.333)</f>
        <v>0.41798731197186129</v>
      </c>
      <c r="AS250" s="2">
        <f>0.217700587457683*(8350/2783.333)</f>
        <v>0.65310184058883924</v>
      </c>
      <c r="AT250" s="2">
        <f>0.1301765225201*(8350/2783.333)</f>
        <v>0.39052961433031397</v>
      </c>
      <c r="AU250" s="2">
        <f>0.220266439460346*(8350/2783.333)</f>
        <v>0.66079939751869032</v>
      </c>
      <c r="AV250" s="2">
        <f>0.111989467322803*(8350/2783.333)</f>
        <v>0.33596844220414968</v>
      </c>
      <c r="AW250" s="2">
        <f>0.124035991730252*(8350/2783.333)</f>
        <v>0.37210801975458979</v>
      </c>
    </row>
    <row r="251" spans="1:49" x14ac:dyDescent="0.25">
      <c r="A251" s="5">
        <v>45873</v>
      </c>
      <c r="B251" s="2">
        <f>0.315664897511404*(8350/2783.333)</f>
        <v>0.94699480594676355</v>
      </c>
      <c r="C251" s="2">
        <f>0.322947952445936*(8350/2783.333)</f>
        <v>0.96884397336702599</v>
      </c>
      <c r="D251" s="2">
        <f>0.258591482035678*(8350/2783.333)</f>
        <v>0.7757745390141656</v>
      </c>
      <c r="E251" s="2">
        <f>0.303915971402805*(8350/2783.333)</f>
        <v>0.91174802339979355</v>
      </c>
      <c r="F251" s="2">
        <f>0.226924995188306*(8350/2783.333)</f>
        <v>0.68077506709486502</v>
      </c>
      <c r="G251" s="2">
        <f>0.243533727175295*(8350/2783.333)</f>
        <v>0.7306012690230439</v>
      </c>
      <c r="H251" s="2">
        <f>0.24256885948516*(8350/2783.333)</f>
        <v>0.72770666560597941</v>
      </c>
      <c r="I251" s="2">
        <f>0.22180988050554*(8350/2783.333)</f>
        <v>0.66542972120880128</v>
      </c>
      <c r="J251" s="2">
        <f>0.192510516268494*(8350/2783.333)</f>
        <v>0.57753161797094676</v>
      </c>
      <c r="K251" s="2">
        <f>0.254557105305879*(8350/2783.333)</f>
        <v>0.76367140737529204</v>
      </c>
      <c r="L251" s="2">
        <f>0.193881080661352*(8350/2783.333)</f>
        <v>0.5816433116419385</v>
      </c>
      <c r="M251" s="2">
        <f>0.18503211425633*(8350/2783.333)</f>
        <v>0.55509640924760217</v>
      </c>
      <c r="N251" s="2">
        <f>0.475947437125651*(8350/2783.333)</f>
        <v>1.4278424823760529</v>
      </c>
      <c r="O251" s="2">
        <f>0.194177541259845*(8350/2783.333)</f>
        <v>0.58253269354392945</v>
      </c>
      <c r="P251" s="2">
        <f>0.369425236357121*(8350/2783.333)</f>
        <v>1.1082758417990082</v>
      </c>
      <c r="Q251" s="2">
        <f>0.259413133161489*(8350/2783.333)</f>
        <v>0.77823949268680193</v>
      </c>
      <c r="R251" s="2">
        <f>0.136591050560199*(8350/2783.333)</f>
        <v>0.4097732007552321</v>
      </c>
      <c r="S251" s="2">
        <f>0.0309704104804894*(8350/2783.333)</f>
        <v>9.291124256856309E-2</v>
      </c>
      <c r="T251" s="2">
        <f t="shared" si="49"/>
        <v>0.10069243236843764</v>
      </c>
      <c r="U251" s="2">
        <f t="shared" si="50"/>
        <v>0.11437794326585224</v>
      </c>
      <c r="V251" s="2">
        <f t="shared" si="51"/>
        <v>0.11043877033537902</v>
      </c>
      <c r="W251" s="2">
        <f t="shared" si="52"/>
        <v>0.10705744606724045</v>
      </c>
      <c r="X251" s="2">
        <f t="shared" si="53"/>
        <v>0.11728533803050227</v>
      </c>
      <c r="Y251" s="2">
        <f t="shared" si="54"/>
        <v>0.10928020503416074</v>
      </c>
      <c r="Z251" s="2">
        <f t="shared" si="55"/>
        <v>0.10579568013572224</v>
      </c>
      <c r="AA251" s="2">
        <f t="shared" si="56"/>
        <v>0.11798772791544039</v>
      </c>
      <c r="AB251" s="2">
        <f t="shared" si="57"/>
        <v>0.10026757173055721</v>
      </c>
      <c r="AC251" s="2">
        <f t="shared" si="58"/>
        <v>0.1151901624778385</v>
      </c>
      <c r="AD251" s="2">
        <f t="shared" si="59"/>
        <v>0.10227444344259566</v>
      </c>
      <c r="AE251" s="2">
        <f t="shared" si="60"/>
        <v>0.10987695088187602</v>
      </c>
      <c r="AF251" s="2">
        <f t="shared" si="61"/>
        <v>0.11908712371493149</v>
      </c>
      <c r="AG251" s="2">
        <f t="shared" si="62"/>
        <v>9.9235315312320327E-2</v>
      </c>
      <c r="AH251" s="2">
        <f t="shared" si="63"/>
        <v>0.1199891551819615</v>
      </c>
      <c r="AI251" s="2">
        <f t="shared" si="64"/>
        <v>0.10099811712417744</v>
      </c>
      <c r="AJ251" s="2">
        <f>0.000909609402933471*(8350/2783.333)</f>
        <v>2.7288285356062256E-3</v>
      </c>
      <c r="AK251" s="2">
        <f>0.0125905747717346*(8350/2783.333)</f>
        <v>3.7771728838764257E-2</v>
      </c>
      <c r="AL251" s="2">
        <f>0.0755944882050498*(8350/2783.333)</f>
        <v>0.22678349177484897</v>
      </c>
      <c r="AM251" s="2">
        <f>0.00826229451543079*(8350/2783.333)</f>
        <v>2.4786886514781774E-2</v>
      </c>
      <c r="AN251" s="2">
        <f>0.0177016342756468*(8350/2783.333)</f>
        <v>5.3104909186809914E-2</v>
      </c>
      <c r="AO251" s="2">
        <f>0.0191026887362508*(8350/2783.333)</f>
        <v>5.7308073071994682E-2</v>
      </c>
      <c r="AP251" s="2">
        <f>0.1006176476978*(8350/2783.333)</f>
        <v>0.30185297924345739</v>
      </c>
      <c r="AQ251" s="2">
        <f>0.224786596176928*(8350/2783.333)</f>
        <v>0.67435986929244529</v>
      </c>
      <c r="AR251" s="2">
        <f>0.164156779297799*(8350/2783.333)</f>
        <v>0.49247039687188826</v>
      </c>
      <c r="AS251" s="2">
        <f>0.164481315339151*(8350/2783.333)</f>
        <v>0.49344400511254194</v>
      </c>
      <c r="AT251" s="2">
        <f>0.139849589054969*(8350/2783.333)</f>
        <v>0.41954881741027467</v>
      </c>
      <c r="AU251" s="2">
        <f>0.148281774757191*(8350/2783.333)</f>
        <v>0.4448453775464673</v>
      </c>
      <c r="AV251" s="2">
        <f>0.101921257950766*(8350/2783.333)</f>
        <v>0.30576381047071988</v>
      </c>
      <c r="AW251" s="2">
        <f>0.0906177734069382*(8350/2783.333)</f>
        <v>0.27185335277810252</v>
      </c>
    </row>
    <row r="252" spans="1:49" x14ac:dyDescent="0.25">
      <c r="A252" s="5">
        <v>45874</v>
      </c>
      <c r="B252" s="2">
        <f>0.268034986940156*(8350/2783.333)</f>
        <v>0.80410505712047631</v>
      </c>
      <c r="C252" s="2">
        <f>0.259031170191011*(8350/2783.333)</f>
        <v>0.7770936036381354</v>
      </c>
      <c r="D252" s="2">
        <f>0.208516278252673*(8350/2783.333)</f>
        <v>0.62554890967405519</v>
      </c>
      <c r="E252" s="2">
        <f>0.239055855554645*(8350/2783.333)</f>
        <v>0.71716765255227688</v>
      </c>
      <c r="F252" s="2">
        <f>0.218722886928487*(8350/2783.333)</f>
        <v>0.65616873936854447</v>
      </c>
      <c r="G252" s="2">
        <f>0.268171380508204*(8350/2783.333)</f>
        <v>0.80451423787362397</v>
      </c>
      <c r="H252" s="2">
        <f>0.283633666405876*(8350/2783.333)</f>
        <v>0.85090110112195227</v>
      </c>
      <c r="I252" s="2">
        <f>0.280990247783278*(8350/2783.333)</f>
        <v>0.84297084430442737</v>
      </c>
      <c r="J252" s="2">
        <f>0.230141172740731*(8350/2783.333)</f>
        <v>0.69042360090765442</v>
      </c>
      <c r="K252" s="2">
        <f>0.302221090044223*(8350/2783.333)</f>
        <v>0.90666337871511071</v>
      </c>
      <c r="L252" s="2">
        <f>0.268354714649297*(8350/2783.333)</f>
        <v>0.80506424036276891</v>
      </c>
      <c r="M252" s="2">
        <f>0.587256686437352*(8350/2783.333)</f>
        <v>1.7617702703025084</v>
      </c>
      <c r="N252" s="2">
        <f>0.258067525924918*(8350/2783.333)</f>
        <v>0.77420267049363789</v>
      </c>
      <c r="O252" s="2">
        <f>0.637743646149355*(8350/2783.333)</f>
        <v>1.913231167577546</v>
      </c>
      <c r="P252" s="2">
        <f>0.704796104368603*(8350/2783.333)</f>
        <v>2.1143885663259949</v>
      </c>
      <c r="Q252" s="2">
        <f>0.366951668362979*(8350/2783.333)</f>
        <v>1.1008551369278765</v>
      </c>
      <c r="R252" s="2">
        <f>0.0647597896388955*(8350/2783.333)</f>
        <v>0.19427939218367959</v>
      </c>
      <c r="S252" s="2">
        <f>0.13713266332157*(8350/2783.333)</f>
        <v>0.41139803923393625</v>
      </c>
      <c r="T252" s="2">
        <f t="shared" si="49"/>
        <v>0.10069243236843764</v>
      </c>
      <c r="U252" s="2">
        <f t="shared" si="50"/>
        <v>0.11437794326585224</v>
      </c>
      <c r="V252" s="2">
        <f t="shared" si="51"/>
        <v>0.11043877033537902</v>
      </c>
      <c r="W252" s="2">
        <f t="shared" si="52"/>
        <v>0.10705744606724045</v>
      </c>
      <c r="X252" s="2">
        <f t="shared" si="53"/>
        <v>0.11728533803050227</v>
      </c>
      <c r="Y252" s="2">
        <f t="shared" si="54"/>
        <v>0.10928020503416074</v>
      </c>
      <c r="Z252" s="2">
        <f t="shared" si="55"/>
        <v>0.10579568013572224</v>
      </c>
      <c r="AA252" s="2">
        <f t="shared" si="56"/>
        <v>0.11798772791544039</v>
      </c>
      <c r="AB252" s="2">
        <f t="shared" si="57"/>
        <v>0.10026757173055721</v>
      </c>
      <c r="AC252" s="2">
        <f t="shared" si="58"/>
        <v>0.1151901624778385</v>
      </c>
      <c r="AD252" s="2">
        <f t="shared" si="59"/>
        <v>0.10227444344259566</v>
      </c>
      <c r="AE252" s="2">
        <f t="shared" si="60"/>
        <v>0.10987695088187602</v>
      </c>
      <c r="AF252" s="2">
        <f t="shared" si="61"/>
        <v>0.11908712371493149</v>
      </c>
      <c r="AG252" s="2">
        <f t="shared" si="62"/>
        <v>9.9235315312320327E-2</v>
      </c>
      <c r="AH252" s="2">
        <f t="shared" si="63"/>
        <v>0.1199891551819615</v>
      </c>
      <c r="AI252" s="2">
        <f t="shared" si="64"/>
        <v>0.10099811712417744</v>
      </c>
      <c r="AJ252" s="2">
        <f>0.0195566021630696*(8350/2783.333)</f>
        <v>5.866981351553386E-2</v>
      </c>
      <c r="AK252" s="2">
        <f>0.0632526494484764*(8350/2783.333)</f>
        <v>0.18975797107093473</v>
      </c>
      <c r="AL252" s="2">
        <f>0.000574863028175284*(8350/2783.333)</f>
        <v>1.7245892910634905E-3</v>
      </c>
      <c r="AM252" s="2">
        <f>0.0165245890308616*(8350/2783.333)</f>
        <v>4.9573773029563513E-2</v>
      </c>
      <c r="AN252" s="2">
        <f>0.0788809667721807*(8350/2783.333)</f>
        <v>0.23664292865701261</v>
      </c>
      <c r="AO252" s="2">
        <f>0.00238783609203135*(8350/2783.333)</f>
        <v>7.1635091339993353E-3</v>
      </c>
      <c r="AP252" s="2">
        <f>0.0358158845281904*(8350/2783.333)</f>
        <v>0.10744766645255523</v>
      </c>
      <c r="AQ252" s="2">
        <f>0.0902873065277337*(8350/2783.333)</f>
        <v>0.27086195202175833</v>
      </c>
      <c r="AR252" s="2">
        <f>0.16219669835096*(8350/2783.333)</f>
        <v>0.48659015332714955</v>
      </c>
      <c r="AS252" s="2">
        <f>0.244551398466127*(8350/2783.333)</f>
        <v>0.73365428326116999</v>
      </c>
      <c r="AT252" s="2">
        <f>0.158867821564203*(8350/2783.333)</f>
        <v>0.47660352177087445</v>
      </c>
      <c r="AU252" s="2">
        <f>0.205836333863169*(8350/2783.333)</f>
        <v>0.61750907554269119</v>
      </c>
      <c r="AV252" s="2">
        <f>0.109975825448395*(8350/2783.333)</f>
        <v>0.32992751585746355</v>
      </c>
      <c r="AW252" s="2">
        <f>0.089218871244567*(8350/2783.333)</f>
        <v>0.26765664578838905</v>
      </c>
    </row>
    <row r="253" spans="1:49" x14ac:dyDescent="0.25">
      <c r="A253" s="5">
        <v>45875</v>
      </c>
      <c r="B253" s="2">
        <f>0.247021791099901*(8350/2783.333)</f>
        <v>0.74106546205005652</v>
      </c>
      <c r="C253" s="2">
        <f>0.26672040715401*(8350/2783.333)</f>
        <v>0.80016131728973139</v>
      </c>
      <c r="D253" s="2">
        <f>0.216340528843767*(8350/2783.333)</f>
        <v>0.64902166425844754</v>
      </c>
      <c r="E253" s="2">
        <f>0.211258663048291*(8350/2783.333)</f>
        <v>0.6337760650461981</v>
      </c>
      <c r="F253" s="2">
        <f>0.284730329590834*(8350/2783.333)</f>
        <v>0.85419109107083746</v>
      </c>
      <c r="G253" s="2">
        <f>0.308444467686999*(8350/2783.333)</f>
        <v>0.92533351387938079</v>
      </c>
      <c r="H253" s="2">
        <f>0.274083711308035*(8350/2783.333)</f>
        <v>0.82225123239730757</v>
      </c>
      <c r="I253" s="2">
        <f>0.255360954867722*(8350/2783.333)</f>
        <v>0.76608295634962909</v>
      </c>
      <c r="J253" s="2">
        <f>0.216277246672012*(8350/2783.333)</f>
        <v>0.64883181772044629</v>
      </c>
      <c r="K253" s="2">
        <f>0.303268650148363*(8350/2783.333)</f>
        <v>0.90980605940389758</v>
      </c>
      <c r="L253" s="2">
        <f>0.247552023591212*(8350/2783.333)</f>
        <v>0.74265615971449217</v>
      </c>
      <c r="M253" s="2">
        <f>0.638360794184339*(8350/2783.333)</f>
        <v>1.9150826119042277</v>
      </c>
      <c r="N253" s="2">
        <f>0.399906166127927*(8350/2783.333)</f>
        <v>1.19971864206266</v>
      </c>
      <c r="O253" s="2">
        <f>0.377087526934012*(8350/2783.333)</f>
        <v>1.1312627162826008</v>
      </c>
      <c r="P253" s="2">
        <f>0.181479608525493*(8350/2783.333)</f>
        <v>0.5444388907787423</v>
      </c>
      <c r="Q253" s="2">
        <f>0.172627648612918*(8350/2783.333)</f>
        <v>0.51788300786067176</v>
      </c>
      <c r="R253" s="2">
        <f>0.135474502462977*(8350/2783.333)</f>
        <v>0.40642355606240987</v>
      </c>
      <c r="S253" s="2">
        <f>0.0565479634146249*(8350/2783.333)</f>
        <v>0.16964391056051073</v>
      </c>
      <c r="T253" s="2">
        <f t="shared" si="49"/>
        <v>0.10069243236843764</v>
      </c>
      <c r="U253" s="2">
        <f t="shared" si="50"/>
        <v>0.11437794326585224</v>
      </c>
      <c r="V253" s="2">
        <f t="shared" si="51"/>
        <v>0.11043877033537902</v>
      </c>
      <c r="W253" s="2">
        <f t="shared" si="52"/>
        <v>0.10705744606724045</v>
      </c>
      <c r="X253" s="2">
        <f t="shared" si="53"/>
        <v>0.11728533803050227</v>
      </c>
      <c r="Y253" s="2">
        <f t="shared" si="54"/>
        <v>0.10928020503416074</v>
      </c>
      <c r="Z253" s="2">
        <f t="shared" si="55"/>
        <v>0.10579568013572224</v>
      </c>
      <c r="AA253" s="2">
        <f t="shared" si="56"/>
        <v>0.11798772791544039</v>
      </c>
      <c r="AB253" s="2">
        <f t="shared" si="57"/>
        <v>0.10026757173055721</v>
      </c>
      <c r="AC253" s="2">
        <f t="shared" si="58"/>
        <v>0.1151901624778385</v>
      </c>
      <c r="AD253" s="2">
        <f t="shared" si="59"/>
        <v>0.10227444344259566</v>
      </c>
      <c r="AE253" s="2">
        <f t="shared" si="60"/>
        <v>0.10987695088187602</v>
      </c>
      <c r="AF253" s="2">
        <f t="shared" si="61"/>
        <v>0.11908712371493149</v>
      </c>
      <c r="AG253" s="2">
        <f t="shared" si="62"/>
        <v>9.9235315312320327E-2</v>
      </c>
      <c r="AH253" s="2">
        <f t="shared" si="63"/>
        <v>0.1199891551819615</v>
      </c>
      <c r="AI253" s="2">
        <f t="shared" si="64"/>
        <v>0.10099811712417744</v>
      </c>
      <c r="AJ253" s="2">
        <f>0.0137957426111576*(8350/2783.333)</f>
        <v>4.1387232790027748E-2</v>
      </c>
      <c r="AK253" s="2">
        <f>0.0998252714044675*(8350/2783.333)</f>
        <v>0.29947585007877375</v>
      </c>
      <c r="AL253" s="2">
        <f>0.0307551720073777*(8350/2783.333)</f>
        <v>9.2265527071896725E-2</v>
      </c>
      <c r="AM253" s="2">
        <f>0.15995802181874*(8350/2783.333)</f>
        <v>0.47987412292617482</v>
      </c>
      <c r="AN253" s="2">
        <f>0.0270182838944084*(8350/2783.333)</f>
        <v>8.1054861390394112E-2</v>
      </c>
      <c r="AO253" s="2">
        <f>0.0205950862937704*(8350/2783.333)</f>
        <v>6.178526628074428E-2</v>
      </c>
      <c r="AP253" s="2">
        <f>0.0646351776601762*(8350/2783.333)</f>
        <v>0.19390555620275091</v>
      </c>
      <c r="AQ253" s="2">
        <f>0.131788976507649*(8350/2783.333)</f>
        <v>0.39536697687228523</v>
      </c>
      <c r="AR253" s="2">
        <f>0.115318095705718*(8350/2783.333)</f>
        <v>0.34595432854880892</v>
      </c>
      <c r="AS253" s="2">
        <f>0.106116977638162*(8350/2783.333)</f>
        <v>0.3183509710403496</v>
      </c>
      <c r="AT253" s="2">
        <f>0.109518787208346*(8350/2783.333)</f>
        <v>0.32855640097311056</v>
      </c>
      <c r="AU253" s="2">
        <f>0.127051274568242*(8350/2783.333)</f>
        <v>0.38115386935189505</v>
      </c>
      <c r="AV253" s="2">
        <f>0.0946411680971403*(8350/2783.333)</f>
        <v>0.28392353829423983</v>
      </c>
      <c r="AW253" s="2">
        <f>0.0977677177923914*(8350/2783.333)</f>
        <v>0.29330318850330439</v>
      </c>
    </row>
    <row r="254" spans="1:49" x14ac:dyDescent="0.25">
      <c r="A254" s="5">
        <v>45876</v>
      </c>
      <c r="B254" s="2">
        <f>0.293717781856025*(8350/2783.333)</f>
        <v>0.88115345109543552</v>
      </c>
      <c r="C254" s="2">
        <f>0.284982344941131*(8350/2783.333)</f>
        <v>0.854947137212271</v>
      </c>
      <c r="D254" s="2">
        <f>0.221426291727979*(8350/2783.333)</f>
        <v>0.66427895473830256</v>
      </c>
      <c r="E254" s="2">
        <f>0.264999901893909*(8350/2783.333)</f>
        <v>0.79499980089128341</v>
      </c>
      <c r="F254" s="2">
        <f>0.212473661587673*(8350/2783.333)</f>
        <v>0.63742106110087182</v>
      </c>
      <c r="G254" s="2">
        <f>0.24921933948289*(8350/2783.333)</f>
        <v>0.74765810798856258</v>
      </c>
      <c r="H254" s="2">
        <f>0.22394644704437*(8350/2783.333)</f>
        <v>0.67183942159292209</v>
      </c>
      <c r="I254" s="2">
        <f>0.238585417686631*(8350/2783.333)</f>
        <v>0.7157563387792153</v>
      </c>
      <c r="J254" s="2">
        <f>0.216277246672012*(8350/2783.333)</f>
        <v>0.64883181772044629</v>
      </c>
      <c r="K254" s="2">
        <f>0.279174767753156*(8350/2783.333)</f>
        <v>0.8375244035617917</v>
      </c>
      <c r="L254" s="2">
        <f>0.278340006357177*(8350/2783.333)</f>
        <v>0.83502011907394191</v>
      </c>
      <c r="M254" s="2">
        <f>0.333057805661394*(8350/2783.333)</f>
        <v>0.99917353664568365</v>
      </c>
      <c r="N254" s="2">
        <f>0.56577857592089*(8350/2783.333)</f>
        <v>1.6973359310364335</v>
      </c>
      <c r="O254" s="2">
        <f>0.262909630332478*(8350/2783.333)</f>
        <v>0.78872898545599623</v>
      </c>
      <c r="P254" s="2">
        <f>0.390547566090492*(8350/2783.333)</f>
        <v>1.1716428385879827</v>
      </c>
      <c r="Q254" s="2">
        <f>0.300919234467327*(8350/2783.333)</f>
        <v>0.9027578115166901</v>
      </c>
      <c r="R254" s="2">
        <f>0.0826245591944529*(8350/2783.333)</f>
        <v>0.24787370726883257</v>
      </c>
      <c r="S254" s="2">
        <f>0.0158704093506985*(8350/2783.333)</f>
        <v>4.7611233754039757E-2</v>
      </c>
      <c r="T254" s="2">
        <f t="shared" si="49"/>
        <v>0.10069243236843764</v>
      </c>
      <c r="U254" s="2">
        <f t="shared" si="50"/>
        <v>0.11437794326585224</v>
      </c>
      <c r="V254" s="2">
        <f t="shared" si="51"/>
        <v>0.11043877033537902</v>
      </c>
      <c r="W254" s="2">
        <f t="shared" si="52"/>
        <v>0.10705744606724045</v>
      </c>
      <c r="X254" s="2">
        <f t="shared" si="53"/>
        <v>0.11728533803050227</v>
      </c>
      <c r="Y254" s="2">
        <f t="shared" si="54"/>
        <v>0.10928020503416074</v>
      </c>
      <c r="Z254" s="2">
        <f t="shared" si="55"/>
        <v>0.10579568013572224</v>
      </c>
      <c r="AA254" s="2">
        <f t="shared" si="56"/>
        <v>0.11798772791544039</v>
      </c>
      <c r="AB254" s="2">
        <f t="shared" si="57"/>
        <v>0.10026757173055721</v>
      </c>
      <c r="AC254" s="2">
        <f t="shared" si="58"/>
        <v>0.1151901624778385</v>
      </c>
      <c r="AD254" s="2">
        <f t="shared" si="59"/>
        <v>0.10227444344259566</v>
      </c>
      <c r="AE254" s="2">
        <f t="shared" si="60"/>
        <v>0.10987695088187602</v>
      </c>
      <c r="AF254" s="2">
        <f t="shared" si="61"/>
        <v>0.11908712371493149</v>
      </c>
      <c r="AG254" s="2">
        <f t="shared" si="62"/>
        <v>9.9235315312320327E-2</v>
      </c>
      <c r="AH254" s="2">
        <f t="shared" si="63"/>
        <v>0.1199891551819615</v>
      </c>
      <c r="AI254" s="2">
        <f t="shared" si="64"/>
        <v>0.10099811712417744</v>
      </c>
      <c r="AJ254" s="2">
        <f>0.00651886738768988*(8350/2783.333)</f>
        <v>1.9556604505177953E-2</v>
      </c>
      <c r="AK254" s="2">
        <f>0.0344741928273686*(8350/2783.333)</f>
        <v>0.10342259086804496</v>
      </c>
      <c r="AL254" s="2">
        <f>0*(8350/2783.333)</f>
        <v>0</v>
      </c>
      <c r="AM254" s="2">
        <f>0.0598190122917189*(8350/2783.333)</f>
        <v>0.17945705836701997</v>
      </c>
      <c r="AN254" s="2">
        <f>0.0695643171534192*(8350/2783.333)</f>
        <v>0.20869297645342846</v>
      </c>
      <c r="AO254" s="2">
        <f>0.0420856111220525*(8350/2783.333)</f>
        <v>0.12625684848673827</v>
      </c>
      <c r="AP254" s="2">
        <f>0.0827929981884216*(8350/2783.333)</f>
        <v>0.24837902431125569</v>
      </c>
      <c r="AQ254" s="2">
        <f>0.0979100622383304*(8350/2783.333)</f>
        <v>0.29373022189226328</v>
      </c>
      <c r="AR254" s="2">
        <f>0.122995079414172*(8350/2783.333)</f>
        <v>0.36898528243237017</v>
      </c>
      <c r="AS254" s="2">
        <f>0.212394738575775*(8350/2783.333)</f>
        <v>0.63718429203682136</v>
      </c>
      <c r="AT254" s="2">
        <f>0.138210086252449*(8350/2783.333)</f>
        <v>0.41463030841367071</v>
      </c>
      <c r="AU254" s="2">
        <f>0.12887577067823*(8350/2783.333)</f>
        <v>0.38662735833736617</v>
      </c>
      <c r="AV254" s="2">
        <f>0.0994429294899576*(8350/2783.333)</f>
        <v>0.29832882419787565</v>
      </c>
      <c r="AW254" s="2">
        <f>0.0954362141884393*(8350/2783.333)</f>
        <v>0.28630867685378208</v>
      </c>
    </row>
    <row r="255" spans="1:49" x14ac:dyDescent="0.25">
      <c r="A255" s="5">
        <v>45877</v>
      </c>
      <c r="B255" s="2">
        <f>0.303990899822373*(8350/2783.333)</f>
        <v>0.91197280868541908</v>
      </c>
      <c r="C255" s="2">
        <f>0.296516200385629*(8350/2783.333)</f>
        <v>0.8895487076896651</v>
      </c>
      <c r="D255" s="2">
        <f>0.229250542319073*(8350/2783.333)</f>
        <v>0.68775170932269458</v>
      </c>
      <c r="E255" s="2">
        <f>0.259903749934411*(8350/2783.333)</f>
        <v>0.77971134318183588</v>
      </c>
      <c r="F255" s="2">
        <f>0.200365787489846*(8350/2783.333)</f>
        <v>0.60109743445725616</v>
      </c>
      <c r="G255" s="2">
        <f>0.248745538457257*(8350/2783.333)</f>
        <v>0.74623670474143533</v>
      </c>
      <c r="H255" s="2">
        <f>0.236838886426456*(8350/2783.333)</f>
        <v>0.71051674437119305</v>
      </c>
      <c r="I255" s="2">
        <f>0.238585417686631*(8350/2783.333)</f>
        <v>0.7157563387792153</v>
      </c>
      <c r="J255" s="2">
        <f>0.20162109625651*(8350/2783.333)</f>
        <v>0.60486336120825468</v>
      </c>
      <c r="K255" s="2">
        <f>0.218940061765139*(8350/2783.333)</f>
        <v>0.65682026395652759</v>
      </c>
      <c r="L255" s="2">
        <f>0.217180094646407*(8350/2783.333)</f>
        <v>0.65154036196800802</v>
      </c>
      <c r="M255" s="2">
        <f>0.213668036700762*(8350/2783.333)</f>
        <v>0.64100418686925476</v>
      </c>
      <c r="N255" s="2">
        <f>0.169418375798038*(8350/2783.333)</f>
        <v>0.50825518826299887</v>
      </c>
      <c r="O255" s="2">
        <f>0.0890136891268534*(8350/2783.333)</f>
        <v>0.26704109936153025</v>
      </c>
      <c r="P255" s="2">
        <f>0.546163097391449*(8350/2783.333)</f>
        <v>1.6384894884006336</v>
      </c>
      <c r="Q255" s="2">
        <f>0.0481093446954035*(8350/2783.333)</f>
        <v>0.14432805137100696</v>
      </c>
      <c r="R255" s="2">
        <f>0.135102319763903*(8350/2783.333)</f>
        <v>0.40530700783146922</v>
      </c>
      <c r="S255" s="2">
        <f>0.0103234701601631*(8350/2783.333)</f>
        <v>3.0970414189521032E-2</v>
      </c>
      <c r="T255" s="2">
        <f t="shared" si="49"/>
        <v>0.10069243236843764</v>
      </c>
      <c r="U255" s="2">
        <f t="shared" si="50"/>
        <v>0.11437794326585224</v>
      </c>
      <c r="V255" s="2">
        <f t="shared" si="51"/>
        <v>0.11043877033537902</v>
      </c>
      <c r="W255" s="2">
        <f t="shared" si="52"/>
        <v>0.10705744606724045</v>
      </c>
      <c r="X255" s="2">
        <f t="shared" si="53"/>
        <v>0.11728533803050227</v>
      </c>
      <c r="Y255" s="2">
        <f t="shared" si="54"/>
        <v>0.10928020503416074</v>
      </c>
      <c r="Z255" s="2">
        <f t="shared" si="55"/>
        <v>0.10579568013572224</v>
      </c>
      <c r="AA255" s="2">
        <f t="shared" si="56"/>
        <v>0.11798772791544039</v>
      </c>
      <c r="AB255" s="2">
        <f t="shared" si="57"/>
        <v>0.10026757173055721</v>
      </c>
      <c r="AC255" s="2">
        <f t="shared" si="58"/>
        <v>0.1151901624778385</v>
      </c>
      <c r="AD255" s="2">
        <f t="shared" si="59"/>
        <v>0.10227444344259566</v>
      </c>
      <c r="AE255" s="2">
        <f t="shared" si="60"/>
        <v>0.10987695088187602</v>
      </c>
      <c r="AF255" s="2">
        <f t="shared" si="61"/>
        <v>0.11908712371493149</v>
      </c>
      <c r="AG255" s="2">
        <f t="shared" si="62"/>
        <v>9.9235315312320327E-2</v>
      </c>
      <c r="AH255" s="2">
        <f t="shared" si="63"/>
        <v>0.1199891551819615</v>
      </c>
      <c r="AI255" s="2">
        <f t="shared" si="64"/>
        <v>0.10099811712417744</v>
      </c>
      <c r="AJ255" s="2">
        <f>0.0489673061912519*(8350/2783.333)</f>
        <v>0.14690193616680181</v>
      </c>
      <c r="AK255" s="2">
        <f>0.00239820471842565*(8350/2783.333)</f>
        <v>7.194615016907476E-3</v>
      </c>
      <c r="AL255" s="2">
        <f>0.0948523996489218*(8350/2783.333)</f>
        <v>0.28455723302547598</v>
      </c>
      <c r="AM255" s="2">
        <f>0.0267698342299958*(8350/2783.333)</f>
        <v>8.0309512307892947E-2</v>
      </c>
      <c r="AN255" s="2">
        <f>0.161178038404574*(8350/2783.333)</f>
        <v>0.48353417312200592</v>
      </c>
      <c r="AO255" s="2">
        <f>0.0126853792389165*(8350/2783.333)</f>
        <v>3.8056142274371478E-2</v>
      </c>
      <c r="AP255" s="2">
        <f>0.0581383427922719*(8350/2783.333)</f>
        <v>0.17441504926484555</v>
      </c>
      <c r="AQ255" s="2">
        <f>0.0979100622383304*(8350/2783.333)</f>
        <v>0.29373022189226328</v>
      </c>
      <c r="AR255" s="2">
        <f>0.109927873101909*(8350/2783.333)</f>
        <v>0.32978365880077687</v>
      </c>
      <c r="AS255" s="2">
        <f>0.131359955652088*(8350/2783.333)</f>
        <v>0.39407991415146304</v>
      </c>
      <c r="AT255" s="2">
        <f>0.206413402837287*(8350/2783.333)</f>
        <v>0.61924028267237474</v>
      </c>
      <c r="AU255" s="2">
        <f>0.14181310673087*(8350/2783.333)</f>
        <v>0.42543937114343344</v>
      </c>
      <c r="AV255" s="2">
        <f>0.109511138861994*(8350/2783.333)</f>
        <v>0.32853345593130517</v>
      </c>
      <c r="AW255" s="2">
        <f>0.107404599355393*(8350/2783.333)</f>
        <v>0.32221383665466335</v>
      </c>
    </row>
    <row r="256" spans="1:49" x14ac:dyDescent="0.25">
      <c r="A256" s="5">
        <v>45878</v>
      </c>
      <c r="B256" s="2">
        <f>0.296052581393832*(8350/2783.333)</f>
        <v>0.8881578505477048</v>
      </c>
      <c r="C256" s="2">
        <f>0.250380778607638*(8350/2783.333)</f>
        <v>0.75114242578009083</v>
      </c>
      <c r="D256" s="2">
        <f>0.189346864304491*(8350/2783.333)</f>
        <v>0.56804066094229377</v>
      </c>
      <c r="E256" s="2">
        <f>0.248784872931869*(8350/2783.333)</f>
        <v>0.7463547081794043</v>
      </c>
      <c r="F256" s="2">
        <f>0.214035967922877*(8350/2783.333)</f>
        <v>0.64210798066779029</v>
      </c>
      <c r="G256" s="2">
        <f>0.259642962046813*(8350/2783.333)</f>
        <v>0.77892897942534645</v>
      </c>
      <c r="H256" s="2">
        <f>0.250208823563433*(8350/2783.333)</f>
        <v>0.75062656058569543</v>
      </c>
      <c r="I256" s="2">
        <f>0.244177263413661*(8350/2783.333)</f>
        <v>0.73253187796935282</v>
      </c>
      <c r="J256" s="2">
        <f>0.213108349284877*(8350/2783.333)</f>
        <v>0.63932512442051326</v>
      </c>
      <c r="K256" s="2">
        <f>0.27131806697211*(8350/2783.333)</f>
        <v>0.81395429839588795</v>
      </c>
      <c r="L256" s="2">
        <f>0.216347987004084*(8350/2783.333)</f>
        <v>0.64904403874207728</v>
      </c>
      <c r="M256" s="2">
        <f>0.239220090574255*(8350/2783.333)</f>
        <v>0.71766035767011438</v>
      </c>
      <c r="N256" s="2">
        <f>0.159174474005599*(8350/2783.333)</f>
        <v>0.47752347920523613</v>
      </c>
      <c r="O256" s="2">
        <f>0.147604978172377*(8350/2783.333)</f>
        <v>0.44281498754886661</v>
      </c>
      <c r="P256" s="2">
        <f>0.284073781516152*(8350/2783.333)</f>
        <v>0.85222144661090615</v>
      </c>
      <c r="Q256" s="2">
        <f>0.574482174892171*(8350/2783.333)</f>
        <v>1.7234467310773181</v>
      </c>
      <c r="R256" s="2">
        <f>0.12765866578242*(8350/2783.333)</f>
        <v>0.3829760432126556</v>
      </c>
      <c r="S256" s="2">
        <f>0.0520795957333603*(8350/2783.333)</f>
        <v>0.15623880591131503</v>
      </c>
      <c r="T256" s="2">
        <f t="shared" si="49"/>
        <v>0.10069243236843764</v>
      </c>
      <c r="U256" s="2">
        <f t="shared" si="50"/>
        <v>0.11437794326585224</v>
      </c>
      <c r="V256" s="2">
        <f t="shared" si="51"/>
        <v>0.11043877033537902</v>
      </c>
      <c r="W256" s="2">
        <f t="shared" si="52"/>
        <v>0.10705744606724045</v>
      </c>
      <c r="X256" s="2">
        <f t="shared" si="53"/>
        <v>0.11728533803050227</v>
      </c>
      <c r="Y256" s="2">
        <f t="shared" si="54"/>
        <v>0.10928020503416074</v>
      </c>
      <c r="Z256" s="2">
        <f t="shared" si="55"/>
        <v>0.10579568013572224</v>
      </c>
      <c r="AA256" s="2">
        <f t="shared" si="56"/>
        <v>0.11798772791544039</v>
      </c>
      <c r="AB256" s="2">
        <f t="shared" si="57"/>
        <v>0.10026757173055721</v>
      </c>
      <c r="AC256" s="2">
        <f t="shared" si="58"/>
        <v>0.1151901624778385</v>
      </c>
      <c r="AD256" s="2">
        <f t="shared" si="59"/>
        <v>0.10227444344259566</v>
      </c>
      <c r="AE256" s="2">
        <f t="shared" si="60"/>
        <v>0.10987695088187602</v>
      </c>
      <c r="AF256" s="2">
        <f t="shared" si="61"/>
        <v>0.11908712371493149</v>
      </c>
      <c r="AG256" s="2">
        <f t="shared" si="62"/>
        <v>9.9235315312320327E-2</v>
      </c>
      <c r="AH256" s="2">
        <f t="shared" si="63"/>
        <v>0.1199891551819615</v>
      </c>
      <c r="AI256" s="2">
        <f t="shared" si="64"/>
        <v>0.10099811712417744</v>
      </c>
      <c r="AJ256" s="2">
        <f>0*(8350/2783.333)</f>
        <v>0</v>
      </c>
      <c r="AK256" s="2">
        <f>0*(8350/2783.333)</f>
        <v>0</v>
      </c>
      <c r="AL256" s="2">
        <f>0*(8350/2783.333)</f>
        <v>0</v>
      </c>
      <c r="AM256" s="2">
        <f>0*(8350/2783.333)</f>
        <v>0</v>
      </c>
      <c r="AN256" s="2">
        <f>0.0012422199491682*(8350/2783.333)</f>
        <v>3.7266602938112216E-3</v>
      </c>
      <c r="AO256" s="2">
        <f>0.0261169572565929*(8350/2783.333)</f>
        <v>7.8350881153117793E-2</v>
      </c>
      <c r="AP256" s="2">
        <f>0.0634690790941421*(8350/2783.333)</f>
        <v>0.19040726008569095</v>
      </c>
      <c r="AQ256" s="2">
        <f>0.0716539036796086*(8350/2783.333)</f>
        <v>0.21496173678274633</v>
      </c>
      <c r="AR256" s="2">
        <f>0.174283864189803*(8350/2783.333)</f>
        <v>0.52285165518637278</v>
      </c>
      <c r="AS256" s="2">
        <f>0.201300690913604*(8350/2783.333)</f>
        <v>0.6039021450644213</v>
      </c>
      <c r="AT256" s="2">
        <f>0.183788264162509*(8350/2783.333)</f>
        <v>0.55136485851924688</v>
      </c>
      <c r="AU256" s="2">
        <f>0.290758334618966*(8350/2783.333)</f>
        <v>0.87227510832098165</v>
      </c>
      <c r="AV256" s="2">
        <f>0.099288033961157*(8350/2783.333)</f>
        <v>0.29786413755582286</v>
      </c>
      <c r="AW256" s="2">
        <f>0.0903069062597446*(8350/2783.333)</f>
        <v>0.27092075122483283</v>
      </c>
    </row>
    <row r="257" spans="1:49" x14ac:dyDescent="0.25">
      <c r="A257" s="5">
        <v>45879</v>
      </c>
      <c r="B257" s="2">
        <f>0.264766267587228*(8350/2783.333)</f>
        <v>0.79429889788730013</v>
      </c>
      <c r="C257" s="2">
        <f>0.260953479431761*(8350/2783.333)</f>
        <v>0.78286053205103467</v>
      </c>
      <c r="D257" s="2">
        <f>0.208125065723118*(8350/2783.333)</f>
        <v>0.62437527194483566</v>
      </c>
      <c r="E257" s="2">
        <f>0.248321586390096*(8350/2783.333)</f>
        <v>0.74496484838763655</v>
      </c>
      <c r="F257" s="2">
        <f>0.201146940657448*(8350/2783.333)</f>
        <v>0.60344089424071479</v>
      </c>
      <c r="G257" s="2">
        <f>0.206103446150298*(8350/2783.333)</f>
        <v>0.6183104125000467</v>
      </c>
      <c r="H257" s="2">
        <f>0.258326285396598*(8350/2783.333)</f>
        <v>0.77497894900164421</v>
      </c>
      <c r="I257" s="2">
        <f>0.248837134852853*(8350/2783.333)</f>
        <v>0.74651149396113425</v>
      </c>
      <c r="J257" s="2">
        <f>0.202809432776685*(8350/2783.333)</f>
        <v>0.60842837119572935</v>
      </c>
      <c r="K257" s="2">
        <f>0.29017414884662*(8350/2783.333)</f>
        <v>0.87052255079405794</v>
      </c>
      <c r="L257" s="2">
        <f>0.230909870744744*(8350/2783.333)</f>
        <v>0.69272969519587091</v>
      </c>
      <c r="M257" s="2">
        <f>0.39781904565111*(8350/2783.333)</f>
        <v>1.1934572798823446</v>
      </c>
      <c r="N257" s="2">
        <f>0.364052509854389*(8350/2783.333)</f>
        <v>1.0921576603604903</v>
      </c>
      <c r="O257" s="2">
        <f>0.217463822803579*(8350/2783.333)</f>
        <v>0.65239154654145992</v>
      </c>
      <c r="P257" s="2">
        <f>0.145700968364885*(8350/2783.333)</f>
        <v>0.43710295744231581</v>
      </c>
      <c r="Q257" s="2">
        <f>0.0188664096844719*(8350/2783.333)</f>
        <v>5.6599235831767444E-2</v>
      </c>
      <c r="R257" s="2">
        <f>0*(8350/2783.333)</f>
        <v>0</v>
      </c>
      <c r="S257" s="2">
        <f>0.00924489865089236*(8350/2783.333)</f>
        <v>2.7734699274197937E-2</v>
      </c>
      <c r="T257" s="2">
        <f t="shared" si="49"/>
        <v>0.10069243236843764</v>
      </c>
      <c r="U257" s="2">
        <f t="shared" si="50"/>
        <v>0.11437794326585224</v>
      </c>
      <c r="V257" s="2">
        <f t="shared" si="51"/>
        <v>0.11043877033537902</v>
      </c>
      <c r="W257" s="2">
        <f t="shared" si="52"/>
        <v>0.10705744606724045</v>
      </c>
      <c r="X257" s="2">
        <f t="shared" si="53"/>
        <v>0.11728533803050227</v>
      </c>
      <c r="Y257" s="2">
        <f t="shared" si="54"/>
        <v>0.10928020503416074</v>
      </c>
      <c r="Z257" s="2">
        <f t="shared" si="55"/>
        <v>0.10579568013572224</v>
      </c>
      <c r="AA257" s="2">
        <f t="shared" si="56"/>
        <v>0.11798772791544039</v>
      </c>
      <c r="AB257" s="2">
        <f t="shared" si="57"/>
        <v>0.10026757173055721</v>
      </c>
      <c r="AC257" s="2">
        <f t="shared" si="58"/>
        <v>0.1151901624778385</v>
      </c>
      <c r="AD257" s="2">
        <f t="shared" si="59"/>
        <v>0.10227444344259566</v>
      </c>
      <c r="AE257" s="2">
        <f t="shared" si="60"/>
        <v>0.10987695088187602</v>
      </c>
      <c r="AF257" s="2">
        <f t="shared" si="61"/>
        <v>0.11908712371493149</v>
      </c>
      <c r="AG257" s="2">
        <f t="shared" si="62"/>
        <v>9.9235315312320327E-2</v>
      </c>
      <c r="AH257" s="2">
        <f t="shared" si="63"/>
        <v>0.1199891551819615</v>
      </c>
      <c r="AI257" s="2">
        <f t="shared" si="64"/>
        <v>0.10099811712417744</v>
      </c>
      <c r="AJ257" s="2">
        <f>0.00257722664164483*(8350/2783.333)</f>
        <v>7.7316808508843034E-3</v>
      </c>
      <c r="AK257" s="2">
        <f>0.00299775589803206*(8350/2783.333)</f>
        <v>8.9932687711343478E-3</v>
      </c>
      <c r="AL257" s="2">
        <f>0.00776065088036633*(8350/2783.333)</f>
        <v>2.3281955429357119E-2</v>
      </c>
      <c r="AM257" s="2">
        <f>0.0502347506538192*(8350/2783.333)</f>
        <v>0.15070427000987313</v>
      </c>
      <c r="AN257" s="2">
        <f>0.0956509360859514*(8350/2783.333)</f>
        <v>0.28695284262346415</v>
      </c>
      <c r="AO257" s="2">
        <f>0.107601863897163*(8350/2783.333)</f>
        <v>0.32280563035084503</v>
      </c>
      <c r="AP257" s="2">
        <f>0.133601578565622*(8350/2783.333)</f>
        <v>0.40080478369743888</v>
      </c>
      <c r="AQ257" s="2">
        <f>0.138225970218819*(8350/2783.333)</f>
        <v>0.41467796031848941</v>
      </c>
      <c r="AR257" s="2">
        <f>0.147169411091858*(8350/2783.333)</f>
        <v>0.44150828615081755</v>
      </c>
      <c r="AS257" s="2">
        <f>0.134414838341671*(8350/2783.333)</f>
        <v>0.40324456331777625</v>
      </c>
      <c r="AT257" s="2">
        <f>0.183952214442761*(8350/2783.333)</f>
        <v>0.55185670941890719</v>
      </c>
      <c r="AU257" s="2">
        <f>0.1781371656479*(8350/2783.333)</f>
        <v>0.53441156094508513</v>
      </c>
      <c r="AV257" s="2">
        <f>0.156909170674964*(8350/2783.333)</f>
        <v>0.4707275683994514</v>
      </c>
      <c r="AW257" s="2">
        <f>0.103518760015473*(8350/2783.333)</f>
        <v>0.3105563172387929</v>
      </c>
    </row>
    <row r="258" spans="1:49" x14ac:dyDescent="0.25">
      <c r="A258" s="5">
        <v>45880</v>
      </c>
      <c r="B258" s="2">
        <f>0.260096668511616*(8350/2783.333)</f>
        <v>0.78029009898276291</v>
      </c>
      <c r="C258" s="2">
        <f>0.288346386112443*(8350/2783.333)</f>
        <v>0.86503926193484471</v>
      </c>
      <c r="D258" s="2">
        <f>0.231989030025957*(8350/2783.333)</f>
        <v>0.69596717342723213</v>
      </c>
      <c r="E258" s="2">
        <f>0.262220182643273*(8350/2783.333)</f>
        <v>0.78666064214067521</v>
      </c>
      <c r="F258" s="2">
        <f>0.240595175621336*(8350/2783.333)</f>
        <v>0.72178561330539903</v>
      </c>
      <c r="G258" s="2">
        <f>0.281437809225925*(8350/2783.333)</f>
        <v>0.84431352879316723</v>
      </c>
      <c r="H258" s="2">
        <f>0.247343837034081*(8350/2783.333)</f>
        <v>0.74203159996830248</v>
      </c>
      <c r="I258" s="2">
        <f>0.247905160565015*(8350/2783.333)</f>
        <v>0.74371557076277794</v>
      </c>
      <c r="J258" s="2">
        <f>0.183003824107087*(8350/2783.333)</f>
        <v>0.54901153807114667</v>
      </c>
      <c r="K258" s="2">
        <f>0.278650987701086*(8350/2783.333)</f>
        <v>0.83595306321739837</v>
      </c>
      <c r="L258" s="2">
        <f>0.226333278711965*(8350/2783.333)</f>
        <v>0.67899991745324972</v>
      </c>
      <c r="M258" s="2">
        <f>0.224681853025544*(8350/2783.333)</f>
        <v>0.67404563980065979</v>
      </c>
      <c r="N258" s="2">
        <f>0.189906179382917*(8350/2783.333)</f>
        <v>0.56971860637852445</v>
      </c>
      <c r="O258" s="2">
        <f>0.190421689397952*(8350/2783.333)</f>
        <v>0.57126513660884326</v>
      </c>
      <c r="P258" s="2">
        <f>0.0913864061933601*(8350/2783.333)</f>
        <v>0.27415925141352349</v>
      </c>
      <c r="Q258" s="2">
        <f>0.282052824782855*(8350/2783.333)</f>
        <v>0.84615857568492281</v>
      </c>
      <c r="R258" s="2">
        <f>0.0472672027824122*(8350/2783.333)</f>
        <v>0.14180162532946727</v>
      </c>
      <c r="S258" s="2">
        <f>0.00338979617199386*(8350/2783.333)</f>
        <v>1.0169389733872582E-2</v>
      </c>
      <c r="T258" s="2">
        <f t="shared" ref="T258:T321" si="69">0.0335641401031546*(8350/2783.333)</f>
        <v>0.10069243236843764</v>
      </c>
      <c r="U258" s="2">
        <f t="shared" ref="U258:U321" si="70">0.0381259765226317*(8350/2783.333)</f>
        <v>0.11437794326585224</v>
      </c>
      <c r="V258" s="2">
        <f t="shared" ref="V258:V321" si="71">0.036812919036393*(8350/2783.333)</f>
        <v>0.11043877033537902</v>
      </c>
      <c r="W258" s="2">
        <f t="shared" ref="W258:W321" si="72">0.0356858110819965*(8350/2783.333)</f>
        <v>0.10705744606724045</v>
      </c>
      <c r="X258" s="2">
        <f t="shared" ref="X258:X321" si="73">0.0390951079947847*(8350/2783.333)</f>
        <v>0.11728533803050227</v>
      </c>
      <c r="Y258" s="2">
        <f t="shared" ref="Y258:Y321" si="74">0.0364267306489037*(8350/2783.333)</f>
        <v>0.10928020503416074</v>
      </c>
      <c r="Z258" s="2">
        <f t="shared" ref="Z258:Z321" si="75">0.035265222488527*(8350/2783.333)</f>
        <v>0.10579568013572224</v>
      </c>
      <c r="AA258" s="2">
        <f t="shared" ref="AA258:AA321" si="76">0.0393292379283912*(8350/2783.333)</f>
        <v>0.11798772791544039</v>
      </c>
      <c r="AB258" s="2">
        <f t="shared" ref="AB258:AB321" si="77">0.0334225199074883*(8350/2783.333)</f>
        <v>0.10026757173055721</v>
      </c>
      <c r="AC258" s="2">
        <f t="shared" ref="AC258:AC321" si="78">0.0383967162275365*(8350/2783.333)</f>
        <v>0.1151901624778385</v>
      </c>
      <c r="AD258" s="2">
        <f t="shared" ref="AD258:AD321" si="79">0.0340914770647198*(8350/2783.333)</f>
        <v>0.10227444344259566</v>
      </c>
      <c r="AE258" s="2">
        <f t="shared" ref="AE258:AE321" si="80">0.0366256459076532*(8350/2783.333)</f>
        <v>0.10987695088187602</v>
      </c>
      <c r="AF258" s="2">
        <f t="shared" ref="AF258:AF321" si="81">0.0396957031510002*(8350/2783.333)</f>
        <v>0.11908712371493149</v>
      </c>
      <c r="AG258" s="2">
        <f t="shared" ref="AG258:AG321" si="82">0.0330784344759505*(8350/2783.333)</f>
        <v>9.9235315312320327E-2</v>
      </c>
      <c r="AH258" s="2">
        <f t="shared" ref="AH258:AH321" si="83">0.0399963802706676*(8350/2783.333)</f>
        <v>0.1199891551819615</v>
      </c>
      <c r="AI258" s="2">
        <f t="shared" ref="AI258:AI321" si="84">0.0336660350095315*(8350/2783.333)</f>
        <v>0.10099811712417744</v>
      </c>
      <c r="AJ258" s="2">
        <f>0.0145537504469355*(8350/2783.333)</f>
        <v>4.3661256569699589E-2</v>
      </c>
      <c r="AK258" s="2">
        <f>0.0698477124241469*(8350/2783.333)</f>
        <v>0.20954316236743026</v>
      </c>
      <c r="AL258" s="2">
        <f>0.042539864084971*(8350/2783.333)</f>
        <v>0.12761960753869828</v>
      </c>
      <c r="AM258" s="2">
        <f>0*(8350/2783.333)</f>
        <v>0</v>
      </c>
      <c r="AN258" s="2">
        <f>0.0142855294154343*(8350/2783.333)</f>
        <v>4.285659337882905E-2</v>
      </c>
      <c r="AO258" s="2">
        <f>0.0174610514229793*(8350/2783.333)</f>
        <v>5.2383160542370154E-2</v>
      </c>
      <c r="AP258" s="2">
        <f>0.04014710777346*(8350/2783.333)</f>
        <v>0.12044133774449217</v>
      </c>
      <c r="AQ258" s="2">
        <f>0.0874075988148417*(8350/2783.333)</f>
        <v>0.26222282784845652</v>
      </c>
      <c r="AR258" s="2">
        <f>0.167750261033671*(8350/2783.333)</f>
        <v>0.50325084337057635</v>
      </c>
      <c r="AS258" s="2">
        <f>0.215449621265358*(8350/2783.333)</f>
        <v>0.64634894120313435</v>
      </c>
      <c r="AT258" s="2">
        <f>0.191493927334354*(8350/2783.333)</f>
        <v>0.57448185080328273</v>
      </c>
      <c r="AU258" s="2">
        <f>0.264551935948232*(8350/2783.333)</f>
        <v>0.79365590289330612</v>
      </c>
      <c r="AV258" s="2">
        <f>0.158303230434169*(8350/2783.333)</f>
        <v>0.47490974817792653</v>
      </c>
      <c r="AW258" s="2">
        <f>0.184655085433006*(8350/2783.333)</f>
        <v>0.55396532264217102</v>
      </c>
    </row>
    <row r="259" spans="1:49" x14ac:dyDescent="0.25">
      <c r="A259" s="5">
        <v>45881</v>
      </c>
      <c r="B259" s="2">
        <f>0.387576723275836*(8350/2783.333)</f>
        <v>1.1627303090766477</v>
      </c>
      <c r="C259" s="2">
        <f>0.381097806978612*(8350/2783.333)</f>
        <v>1.1432935578572199</v>
      </c>
      <c r="D259" s="2">
        <f>0.288714846811393*(8350/2783.333)</f>
        <v>0.86614464416407622</v>
      </c>
      <c r="E259" s="2">
        <f>0.331713163909159*(8350/2783.333)</f>
        <v>0.99513961090587266</v>
      </c>
      <c r="F259" s="2">
        <f>0.265201500400791*(8350/2783.333)</f>
        <v>0.79560459648436022</v>
      </c>
      <c r="G259" s="2">
        <f>0.326448906661047*(8350/2783.333)</f>
        <v>0.97934683727018879</v>
      </c>
      <c r="H259" s="2">
        <f>0.312761029454291*(8350/2783.333)</f>
        <v>0.93828320073211913</v>
      </c>
      <c r="I259" s="2">
        <f>0.309881450706269*(8350/2783.333)</f>
        <v>0.92964446345347274</v>
      </c>
      <c r="J259" s="2">
        <f>0.265395156172616*(8350/2783.333)</f>
        <v>0.79618556386941186</v>
      </c>
      <c r="K259" s="2">
        <f>0.338361913637033*(8350/2783.333)</f>
        <v>1.015085862478269</v>
      </c>
      <c r="L259" s="2">
        <f>0.277923952536016*(8350/2783.333)</f>
        <v>0.83377195746097643</v>
      </c>
      <c r="M259" s="2">
        <f>0.268296565671678*(8350/2783.333)</f>
        <v>0.80488979340902267</v>
      </c>
      <c r="N259" s="2">
        <f>0.45664162220913*(8350/2783.333)</f>
        <v>1.3699250306902691</v>
      </c>
      <c r="O259" s="2">
        <f>0.586664060827616*(8350/2783.333)</f>
        <v>1.7599923932603811</v>
      </c>
      <c r="P259" s="2">
        <f>0.234932034789534*(8350/2783.333)</f>
        <v>0.70479618877533146</v>
      </c>
      <c r="Q259" s="2">
        <f>0.507978080754407*(8350/2783.333)</f>
        <v>1.5239344247703379</v>
      </c>
      <c r="R259" s="2">
        <f>0.141801608347237*(8350/2783.333)</f>
        <v>0.42540487598840188</v>
      </c>
      <c r="S259" s="2">
        <f>0.00847449042998466*(8350/2783.333)</f>
        <v>2.5423474334681447E-2</v>
      </c>
      <c r="T259" s="2">
        <f t="shared" si="69"/>
        <v>0.10069243236843764</v>
      </c>
      <c r="U259" s="2">
        <f t="shared" si="70"/>
        <v>0.11437794326585224</v>
      </c>
      <c r="V259" s="2">
        <f t="shared" si="71"/>
        <v>0.11043877033537902</v>
      </c>
      <c r="W259" s="2">
        <f t="shared" si="72"/>
        <v>0.10705744606724045</v>
      </c>
      <c r="X259" s="2">
        <f t="shared" si="73"/>
        <v>0.11728533803050227</v>
      </c>
      <c r="Y259" s="2">
        <f t="shared" si="74"/>
        <v>0.10928020503416074</v>
      </c>
      <c r="Z259" s="2">
        <f t="shared" si="75"/>
        <v>0.10579568013572224</v>
      </c>
      <c r="AA259" s="2">
        <f t="shared" si="76"/>
        <v>0.11798772791544039</v>
      </c>
      <c r="AB259" s="2">
        <f t="shared" si="77"/>
        <v>0.10026757173055721</v>
      </c>
      <c r="AC259" s="2">
        <f t="shared" si="78"/>
        <v>0.1151901624778385</v>
      </c>
      <c r="AD259" s="2">
        <f t="shared" si="79"/>
        <v>0.10227444344259566</v>
      </c>
      <c r="AE259" s="2">
        <f t="shared" si="80"/>
        <v>0.10987695088187602</v>
      </c>
      <c r="AF259" s="2">
        <f t="shared" si="81"/>
        <v>0.11908712371493149</v>
      </c>
      <c r="AG259" s="2">
        <f t="shared" si="82"/>
        <v>9.9235315312320327E-2</v>
      </c>
      <c r="AH259" s="2">
        <f t="shared" si="83"/>
        <v>0.1199891551819615</v>
      </c>
      <c r="AI259" s="2">
        <f t="shared" si="84"/>
        <v>0.10099811712417744</v>
      </c>
      <c r="AJ259" s="2">
        <f>0*(8350/2783.333)</f>
        <v>0</v>
      </c>
      <c r="AK259" s="2">
        <f>0.000299775589803206*(8350/2783.333)</f>
        <v>8.9932687711343439E-4</v>
      </c>
      <c r="AL259" s="2">
        <f>0.0620852070429306*(8350/2783.333)</f>
        <v>0.18625564343485695</v>
      </c>
      <c r="AM259" s="2">
        <f>0.467315377792765*(8350/2783.333)</f>
        <v>1.4019463012760567</v>
      </c>
      <c r="AN259" s="2">
        <f>0.240059005176755*(8350/2783.333)</f>
        <v>0.72017710177901872</v>
      </c>
      <c r="AO259" s="2">
        <f>0.00880514558936561*(8350/2783.333)</f>
        <v>2.6415439931622563E-2</v>
      </c>
      <c r="AP259" s="2">
        <f>0.0429790614338285*(8350/2783.333)</f>
        <v>0.12893719974306633</v>
      </c>
      <c r="AQ259" s="2">
        <f>0.0892709390996542*(8350/2783.333)</f>
        <v>0.26781284937235772</v>
      </c>
      <c r="AR259" s="2">
        <f>0.185064309397419*(8350/2783.333)</f>
        <v>0.55519299468243721</v>
      </c>
      <c r="AS259" s="2">
        <f>0.147116718998361*(8350/2783.333)</f>
        <v>0.44135020985139412</v>
      </c>
      <c r="AT259" s="2">
        <f>0.254778735511632*(8350/2783.333)</f>
        <v>0.76433629807217662</v>
      </c>
      <c r="AU259" s="2">
        <f>0.151433177128988*(8350/2783.333)</f>
        <v>0.4542995857940994</v>
      </c>
      <c r="AV259" s="2">
        <f>0.180453291052649*(8350/2783.333)</f>
        <v>0.5413599379914722</v>
      </c>
      <c r="AW259" s="2">
        <f>0.0831569618742915*(8350/2783.333)</f>
        <v>0.24947091549963096</v>
      </c>
    </row>
    <row r="260" spans="1:49" x14ac:dyDescent="0.25">
      <c r="A260" s="5">
        <v>45882</v>
      </c>
      <c r="B260" s="2">
        <f>0.252625309990635*(8350/2783.333)</f>
        <v>0.75787602073550175</v>
      </c>
      <c r="C260" s="2">
        <f>0.272006757566071*(8350/2783.333)</f>
        <v>0.81602037042520381</v>
      </c>
      <c r="D260" s="2">
        <f>0.228076904730409*(8350/2783.333)</f>
        <v>0.68423079613503612</v>
      </c>
      <c r="E260" s="2">
        <f>0.279825071230631*(8350/2783.333)</f>
        <v>0.83947531422785837</v>
      </c>
      <c r="F260" s="2">
        <f>0.215598274258081*(8350/2783.333)</f>
        <v>0.64679490023470865</v>
      </c>
      <c r="G260" s="2">
        <f>0.263907171277509*(8350/2783.333)</f>
        <v>0.79172160864948515</v>
      </c>
      <c r="H260" s="2">
        <f>0.270741227023791*(8350/2783.333)</f>
        <v>0.81222377834368209</v>
      </c>
      <c r="I260" s="2">
        <f>0.264680697746106*(8350/2783.333)</f>
        <v>0.79404218833319173</v>
      </c>
      <c r="J260" s="2">
        <f>0.221426704926108*(8350/2783.333)</f>
        <v>0.66428019433283791</v>
      </c>
      <c r="K260" s="2">
        <f>0.298030849627666*(8350/2783.333)</f>
        <v>0.89409265595996146</v>
      </c>
      <c r="L260" s="2">
        <f>0.221340632858024*(8350/2783.333)</f>
        <v>0.66402197809766361</v>
      </c>
      <c r="M260" s="2">
        <f>0.267856013018687*(8350/2783.333)</f>
        <v>0.80356813529176663</v>
      </c>
      <c r="N260" s="2">
        <f>0.408180086806436*(8350/2783.333)</f>
        <v>1.2245404070708532</v>
      </c>
      <c r="O260" s="2">
        <f>0.220092919106904*(8350/2783.333)</f>
        <v>0.66027883639602025</v>
      </c>
      <c r="P260" s="2">
        <f>0.118543687279123*(8350/2783.333)</f>
        <v>0.35563110442791956</v>
      </c>
      <c r="Q260" s="2">
        <f>0.670229204040866*(8350/2783.333)</f>
        <v>2.0106878529235375</v>
      </c>
      <c r="R260" s="2">
        <f>0.240057840902802*(8350/2783.333)</f>
        <v>0.72017360895674298</v>
      </c>
      <c r="S260" s="2">
        <f>0*(8350/2783.333)</f>
        <v>0</v>
      </c>
      <c r="T260" s="2">
        <f t="shared" si="69"/>
        <v>0.10069243236843764</v>
      </c>
      <c r="U260" s="2">
        <f t="shared" si="70"/>
        <v>0.11437794326585224</v>
      </c>
      <c r="V260" s="2">
        <f t="shared" si="71"/>
        <v>0.11043877033537902</v>
      </c>
      <c r="W260" s="2">
        <f t="shared" si="72"/>
        <v>0.10705744606724045</v>
      </c>
      <c r="X260" s="2">
        <f t="shared" si="73"/>
        <v>0.11728533803050227</v>
      </c>
      <c r="Y260" s="2">
        <f t="shared" si="74"/>
        <v>0.10928020503416074</v>
      </c>
      <c r="Z260" s="2">
        <f t="shared" si="75"/>
        <v>0.10579568013572224</v>
      </c>
      <c r="AA260" s="2">
        <f t="shared" si="76"/>
        <v>0.11798772791544039</v>
      </c>
      <c r="AB260" s="2">
        <f t="shared" si="77"/>
        <v>0.10026757173055721</v>
      </c>
      <c r="AC260" s="2">
        <f t="shared" si="78"/>
        <v>0.1151901624778385</v>
      </c>
      <c r="AD260" s="2">
        <f t="shared" si="79"/>
        <v>0.10227444344259566</v>
      </c>
      <c r="AE260" s="2">
        <f t="shared" si="80"/>
        <v>0.10987695088187602</v>
      </c>
      <c r="AF260" s="2">
        <f t="shared" si="81"/>
        <v>0.11908712371493149</v>
      </c>
      <c r="AG260" s="2">
        <f t="shared" si="82"/>
        <v>9.9235315312320327E-2</v>
      </c>
      <c r="AH260" s="2">
        <f t="shared" si="83"/>
        <v>0.1199891551819615</v>
      </c>
      <c r="AI260" s="2">
        <f t="shared" si="84"/>
        <v>0.10099811712417744</v>
      </c>
      <c r="AJ260" s="2">
        <f>0*(8350/2783.333)</f>
        <v>0</v>
      </c>
      <c r="AK260" s="2">
        <f>0.0119910235921282*(8350/2783.333)</f>
        <v>3.5973075084537363E-2</v>
      </c>
      <c r="AL260" s="2">
        <f>0.0189704799297843*(8350/2783.333)</f>
        <v>5.6911446605095152E-2</v>
      </c>
      <c r="AM260" s="2">
        <f>0.11335868075171*(8350/2783.333)</f>
        <v>0.34007608298280584</v>
      </c>
      <c r="AN260" s="2">
        <f>0.055589342725277*(8350/2783.333)</f>
        <v>0.16676804814805221</v>
      </c>
      <c r="AO260" s="2">
        <f>0.0544725108494652*(8350/2783.333)</f>
        <v>0.16341755211935993</v>
      </c>
      <c r="AP260" s="2">
        <f>0.0909556881506603*(8350/2783.333)</f>
        <v>0.27286709713067525</v>
      </c>
      <c r="AQ260" s="2">
        <f>0.101467348236609*(8350/2783.333)</f>
        <v>0.30440208116516548</v>
      </c>
      <c r="AR260" s="2">
        <f>0.144229289671599*(8350/2783.333)</f>
        <v>0.43268792083370877</v>
      </c>
      <c r="AS260" s="2">
        <f>0.211430038779064*(8350/2783.333)</f>
        <v>0.63429019230009076</v>
      </c>
      <c r="AT260" s="2">
        <f>0.244285917575503*(8350/2783.333)</f>
        <v>0.73285784049391411</v>
      </c>
      <c r="AU260" s="2">
        <f>0.199201802554123*(8350/2783.333)</f>
        <v>0.59760547923188778</v>
      </c>
      <c r="AV260" s="2">
        <f>0.113848213668409*(8350/2783.333)</f>
        <v>0.34154468190878262</v>
      </c>
      <c r="AW260" s="2">
        <f>0.0881308362293893*(8350/2783.333)</f>
        <v>0.26439254035194526</v>
      </c>
    </row>
    <row r="261" spans="1:49" x14ac:dyDescent="0.25">
      <c r="A261" s="5">
        <v>45883</v>
      </c>
      <c r="B261" s="2">
        <f>0.276440265276259*(8350/2783.333)</f>
        <v>0.8293208951486456</v>
      </c>
      <c r="C261" s="2">
        <f>0.269123293704946*(8350/2783.333)</f>
        <v>0.80736997780585473</v>
      </c>
      <c r="D261" s="2">
        <f>0.210472340900446*(8350/2783.333)</f>
        <v>0.63141709832015336</v>
      </c>
      <c r="E261" s="2">
        <f>0.278435211605313*(8350/2783.333)</f>
        <v>0.83530573485255422</v>
      </c>
      <c r="F261" s="2">
        <f>0.223800382517898*(8350/2783.333)</f>
        <v>0.67140122796102819</v>
      </c>
      <c r="G261" s="2">
        <f>0.276225997943963*(8350/2783.333)</f>
        <v>0.82867809307477558</v>
      </c>
      <c r="H261" s="2">
        <f>0.267398742739547*(8350/2783.333)</f>
        <v>0.80219632429005638</v>
      </c>
      <c r="I261" s="2">
        <f>0.249303121996773*(8350/2783.333)</f>
        <v>0.74790945556031274</v>
      </c>
      <c r="J261" s="2">
        <f>0.215485022325228*(8350/2783.333)</f>
        <v>0.64645514439546259</v>
      </c>
      <c r="K261" s="2">
        <f>0.273936967232459*(8350/2783.333)</f>
        <v>0.82181100011785613</v>
      </c>
      <c r="L261" s="2">
        <f>0.216764040825246*(8350/2783.333)</f>
        <v>0.65029220035504287</v>
      </c>
      <c r="M261" s="2">
        <f>0.437909337073315*(8350/2783.333)</f>
        <v>1.3137281685526585</v>
      </c>
      <c r="N261" s="2">
        <f>0.325440880021348*(8350/2783.333)</f>
        <v>0.97632275698892368</v>
      </c>
      <c r="O261" s="2">
        <f>0.291454104482862*(8350/2783.333)</f>
        <v>0.87436241816264815</v>
      </c>
      <c r="P261" s="2">
        <f>0.340112615502647*(8350/2783.333)</f>
        <v>1.0203379687041043</v>
      </c>
      <c r="Q261" s="2">
        <f>0.0905587664854653*(8350/2783.333)</f>
        <v>0.27167633199248364</v>
      </c>
      <c r="R261" s="2">
        <f>0.164504752990758*(8350/2783.333)</f>
        <v>0.49351431807578366</v>
      </c>
      <c r="S261" s="2">
        <f>0.0248071447132278*(8350/2783.333)</f>
        <v>7.442144305243116E-2</v>
      </c>
      <c r="T261" s="2">
        <f t="shared" si="69"/>
        <v>0.10069243236843764</v>
      </c>
      <c r="U261" s="2">
        <f t="shared" si="70"/>
        <v>0.11437794326585224</v>
      </c>
      <c r="V261" s="2">
        <f t="shared" si="71"/>
        <v>0.11043877033537902</v>
      </c>
      <c r="W261" s="2">
        <f t="shared" si="72"/>
        <v>0.10705744606724045</v>
      </c>
      <c r="X261" s="2">
        <f t="shared" si="73"/>
        <v>0.11728533803050227</v>
      </c>
      <c r="Y261" s="2">
        <f t="shared" si="74"/>
        <v>0.10928020503416074</v>
      </c>
      <c r="Z261" s="2">
        <f t="shared" si="75"/>
        <v>0.10579568013572224</v>
      </c>
      <c r="AA261" s="2">
        <f t="shared" si="76"/>
        <v>0.11798772791544039</v>
      </c>
      <c r="AB261" s="2">
        <f t="shared" si="77"/>
        <v>0.10026757173055721</v>
      </c>
      <c r="AC261" s="2">
        <f t="shared" si="78"/>
        <v>0.1151901624778385</v>
      </c>
      <c r="AD261" s="2">
        <f t="shared" si="79"/>
        <v>0.10227444344259566</v>
      </c>
      <c r="AE261" s="2">
        <f t="shared" si="80"/>
        <v>0.10987695088187602</v>
      </c>
      <c r="AF261" s="2">
        <f t="shared" si="81"/>
        <v>0.11908712371493149</v>
      </c>
      <c r="AG261" s="2">
        <f t="shared" si="82"/>
        <v>9.9235315312320327E-2</v>
      </c>
      <c r="AH261" s="2">
        <f t="shared" si="83"/>
        <v>0.1199891551819615</v>
      </c>
      <c r="AI261" s="2">
        <f t="shared" si="84"/>
        <v>0.10099811712417744</v>
      </c>
      <c r="AJ261" s="2">
        <f>0.048209298355474*(8350/2783.333)</f>
        <v>0.14462791238712994</v>
      </c>
      <c r="AK261" s="2">
        <f>0.191556601884248*(8350/2783.333)</f>
        <v>0.57466987447548468</v>
      </c>
      <c r="AL261" s="2">
        <f>0.057773734331616*(8350/2783.333)</f>
        <v>0.17332122375188083</v>
      </c>
      <c r="AM261" s="2">
        <f>0.130544253343806*(8350/2783.333)</f>
        <v>0.39163280693355174</v>
      </c>
      <c r="AN261" s="2">
        <f>0.135401974459334*(8350/2783.333)</f>
        <v>0.40620597202542286</v>
      </c>
      <c r="AO261" s="2">
        <f>0.0676056093556376*(8350/2783.333)</f>
        <v>0.20281685235635627</v>
      </c>
      <c r="AP261" s="2">
        <f>0.0744637227167494*(8350/2783.333)</f>
        <v>0.2233911949036847</v>
      </c>
      <c r="AQ261" s="2">
        <f>0.111292233374711*(8350/2783.333)</f>
        <v>0.33387674010937191</v>
      </c>
      <c r="AR261" s="2">
        <f>0.135735605568628*(8350/2783.333)</f>
        <v>0.40720686547317325</v>
      </c>
      <c r="AS261" s="2">
        <f>0.173163613509546*(8350/2783.333)</f>
        <v>0.51949090274311593</v>
      </c>
      <c r="AT261" s="2">
        <f>0.195592684340654*(8350/2783.333)</f>
        <v>0.58677812329479173</v>
      </c>
      <c r="AU261" s="2">
        <f>0.136505481683633*(8350/2783.333)</f>
        <v>0.40951649409479052</v>
      </c>
      <c r="AV261" s="2">
        <f>0.118030392946024*(8350/2783.333)</f>
        <v>0.35409122124420744</v>
      </c>
      <c r="AW261" s="2">
        <f>0.112067606563298*(8350/2783.333)</f>
        <v>0.33620285995370808</v>
      </c>
    </row>
    <row r="262" spans="1:49" x14ac:dyDescent="0.25">
      <c r="A262" s="5">
        <v>45884</v>
      </c>
      <c r="B262" s="2">
        <f>0.357224329284355*(8350/2783.333)</f>
        <v>1.0716731161971507</v>
      </c>
      <c r="C262" s="2">
        <f>0.268642716394759*(8350/2783.333)</f>
        <v>0.80592824570263033</v>
      </c>
      <c r="D262" s="2">
        <f>0.226903267141745*(8350/2783.333)</f>
        <v>0.68070988294737722</v>
      </c>
      <c r="E262" s="2">
        <f>0.267316334602772*(8350/2783.333)</f>
        <v>0.80194909985012353</v>
      </c>
      <c r="F262" s="2">
        <f>0.231611914193916*(8350/2783.333)</f>
        <v>0.69483582579561964</v>
      </c>
      <c r="G262" s="2">
        <f>0.278595003072128*(8350/2783.333)</f>
        <v>0.83578510931040784</v>
      </c>
      <c r="H262" s="2">
        <f>0.228721424593291*(8350/2783.333)</f>
        <v>0.68616435595524494</v>
      </c>
      <c r="I262" s="2">
        <f>0.232993571959601*(8350/2783.333)</f>
        <v>0.69898079958907744</v>
      </c>
      <c r="J262" s="2">
        <f>0.217069471018796*(8350/2783.333)</f>
        <v>0.65120849104542977</v>
      </c>
      <c r="K262" s="2">
        <f>0.276555867492807*(8350/2783.333)</f>
        <v>0.82966770183982386</v>
      </c>
      <c r="L262" s="2">
        <f>0.215099825540599*(8350/2783.333)</f>
        <v>0.64529955390318094</v>
      </c>
      <c r="M262" s="2">
        <f>0.236576774656308*(8350/2783.333)</f>
        <v>0.7097304089665768</v>
      </c>
      <c r="N262" s="2">
        <f>0.168630383352466*(8350/2783.333)</f>
        <v>0.50589121064317077</v>
      </c>
      <c r="O262" s="2">
        <f>0.141971200379538*(8350/2783.333)</f>
        <v>0.42591365214623816</v>
      </c>
      <c r="P262" s="2">
        <f>0.24743300544806*(8350/2783.333)</f>
        <v>0.74229910524227583</v>
      </c>
      <c r="Q262" s="2">
        <f>0.141026412391428*(8350/2783.333)</f>
        <v>0.42307928784246129</v>
      </c>
      <c r="R262" s="2">
        <f>0.0588048664537097*(8350/2783.333)</f>
        <v>0.1764146204886286</v>
      </c>
      <c r="S262" s="2">
        <f>0*(8350/2783.333)</f>
        <v>0</v>
      </c>
      <c r="T262" s="2">
        <f t="shared" si="69"/>
        <v>0.10069243236843764</v>
      </c>
      <c r="U262" s="2">
        <f t="shared" si="70"/>
        <v>0.11437794326585224</v>
      </c>
      <c r="V262" s="2">
        <f t="shared" si="71"/>
        <v>0.11043877033537902</v>
      </c>
      <c r="W262" s="2">
        <f t="shared" si="72"/>
        <v>0.10705744606724045</v>
      </c>
      <c r="X262" s="2">
        <f t="shared" si="73"/>
        <v>0.11728533803050227</v>
      </c>
      <c r="Y262" s="2">
        <f t="shared" si="74"/>
        <v>0.10928020503416074</v>
      </c>
      <c r="Z262" s="2">
        <f t="shared" si="75"/>
        <v>0.10579568013572224</v>
      </c>
      <c r="AA262" s="2">
        <f t="shared" si="76"/>
        <v>0.11798772791544039</v>
      </c>
      <c r="AB262" s="2">
        <f t="shared" si="77"/>
        <v>0.10026757173055721</v>
      </c>
      <c r="AC262" s="2">
        <f t="shared" si="78"/>
        <v>0.1151901624778385</v>
      </c>
      <c r="AD262" s="2">
        <f t="shared" si="79"/>
        <v>0.10227444344259566</v>
      </c>
      <c r="AE262" s="2">
        <f t="shared" si="80"/>
        <v>0.10987695088187602</v>
      </c>
      <c r="AF262" s="2">
        <f t="shared" si="81"/>
        <v>0.11908712371493149</v>
      </c>
      <c r="AG262" s="2">
        <f t="shared" si="82"/>
        <v>9.9235315312320327E-2</v>
      </c>
      <c r="AH262" s="2">
        <f t="shared" si="83"/>
        <v>0.1199891551819615</v>
      </c>
      <c r="AI262" s="2">
        <f t="shared" si="84"/>
        <v>0.10099811712417744</v>
      </c>
      <c r="AJ262" s="2">
        <f>0.0538185563402304*(8350/2783.333)</f>
        <v>0.16145568835670165</v>
      </c>
      <c r="AK262" s="2">
        <f>0.0500625234971354*(8350/2783.333)</f>
        <v>0.15018758847794358</v>
      </c>
      <c r="AL262" s="2">
        <f>0.0321923295778159*(8350/2783.333)</f>
        <v>9.6577000299555446E-2</v>
      </c>
      <c r="AM262" s="2">
        <f>0.132857695808127*(8350/2783.333)</f>
        <v>0.39857313515769088</v>
      </c>
      <c r="AN262" s="2">
        <f>0.0770176368484284*(8350/2783.333)</f>
        <v>0.2310529382162958</v>
      </c>
      <c r="AO262" s="2">
        <f>0.0668594105768778*(8350/2783.333)</f>
        <v>0.20057825575198149</v>
      </c>
      <c r="AP262" s="2">
        <f>0.0424793049055282*(8350/2783.333)</f>
        <v>0.12743792997861209</v>
      </c>
      <c r="AQ262" s="2">
        <f>0.178372483627962*(8350/2783.333)</f>
        <v>0.5351175149698153</v>
      </c>
      <c r="AR262" s="2">
        <f>0.166770220560252*(8350/2783.333)</f>
        <v>0.50031072159820678</v>
      </c>
      <c r="AS262" s="2">
        <f>0.144383402907681*(8350/2783.333)</f>
        <v>0.43315026059732448</v>
      </c>
      <c r="AT262" s="2">
        <f>0.162802628290251*(8350/2783.333)</f>
        <v>0.48840794336272281</v>
      </c>
      <c r="AU262" s="2">
        <f>0.182283747716054*(8350/2783.333)</f>
        <v>0.54685130863933762</v>
      </c>
      <c r="AV262" s="2">
        <f>0.145137110486122*(8350/2783.333)</f>
        <v>0.43541138360344162</v>
      </c>
      <c r="AW262" s="2">
        <f>0.140356516957916*(8350/2783.333)</f>
        <v>0.42106960130124604</v>
      </c>
    </row>
    <row r="263" spans="1:49" x14ac:dyDescent="0.25">
      <c r="A263" s="5">
        <v>45885</v>
      </c>
      <c r="B263" s="2">
        <f>0.42633439560342*(8350/2783.333)</f>
        <v>1.2790033399843124</v>
      </c>
      <c r="C263" s="2">
        <f>0.379175497737862*(8350/2783.333)</f>
        <v>1.1375266294443209</v>
      </c>
      <c r="D263" s="2">
        <f>0.251549656503693*(8350/2783.333)</f>
        <v>0.75464905988821307</v>
      </c>
      <c r="E263" s="2">
        <f>0.27611877889645*(8350/2783.333)</f>
        <v>0.82835643589371499</v>
      </c>
      <c r="F263" s="2">
        <f>0.227315571772107*(8350/2783.333)</f>
        <v>0.68194679698659466</v>
      </c>
      <c r="G263" s="2">
        <f>0.281437809225925*(8350/2783.333)</f>
        <v>0.84431352879316723</v>
      </c>
      <c r="H263" s="2">
        <f>0.274083711308035*(8350/2783.333)</f>
        <v>0.82225123239730757</v>
      </c>
      <c r="I263" s="2">
        <f>0.258622864875157*(8350/2783.333)</f>
        <v>0.77586868754387572</v>
      </c>
      <c r="J263" s="2">
        <f>0.229348948393947*(8350/2783.333)</f>
        <v>0.68804692758267094</v>
      </c>
      <c r="K263" s="2">
        <f>0.288602808690411*(8350/2783.333)</f>
        <v>0.86580852976087663</v>
      </c>
      <c r="L263" s="2">
        <f>0.209275072044335*(8350/2783.333)</f>
        <v>0.62782529132166354</v>
      </c>
      <c r="M263" s="2">
        <f>0.24803114363408*(8350/2783.333)</f>
        <v>0.74409352001523787</v>
      </c>
      <c r="N263" s="2">
        <f>0.24467165435019*(8350/2783.333)</f>
        <v>0.73401505095656383</v>
      </c>
      <c r="O263" s="2">
        <f>0.481124623508436*(8350/2783.333)</f>
        <v>1.4433740433844737</v>
      </c>
      <c r="P263" s="2">
        <f>0.362528149097245*(8350/2783.333)</f>
        <v>1.0875845775413835</v>
      </c>
      <c r="Q263" s="2">
        <f>0.555615765207699*(8350/2783.333)</f>
        <v>1.6668474952455508</v>
      </c>
      <c r="R263" s="2">
        <f>0.185719166837982*(8350/2783.333)</f>
        <v>0.5571575672394028</v>
      </c>
      <c r="S263" s="2">
        <f>0.021725511829597*(8350/2783.333)</f>
        <v>6.5176543294365133E-2</v>
      </c>
      <c r="T263" s="2">
        <f t="shared" si="69"/>
        <v>0.10069243236843764</v>
      </c>
      <c r="U263" s="2">
        <f t="shared" si="70"/>
        <v>0.11437794326585224</v>
      </c>
      <c r="V263" s="2">
        <f t="shared" si="71"/>
        <v>0.11043877033537902</v>
      </c>
      <c r="W263" s="2">
        <f t="shared" si="72"/>
        <v>0.10705744606724045</v>
      </c>
      <c r="X263" s="2">
        <f t="shared" si="73"/>
        <v>0.11728533803050227</v>
      </c>
      <c r="Y263" s="2">
        <f t="shared" si="74"/>
        <v>0.10928020503416074</v>
      </c>
      <c r="Z263" s="2">
        <f t="shared" si="75"/>
        <v>0.10579568013572224</v>
      </c>
      <c r="AA263" s="2">
        <f t="shared" si="76"/>
        <v>0.11798772791544039</v>
      </c>
      <c r="AB263" s="2">
        <f t="shared" si="77"/>
        <v>0.10026757173055721</v>
      </c>
      <c r="AC263" s="2">
        <f t="shared" si="78"/>
        <v>0.1151901624778385</v>
      </c>
      <c r="AD263" s="2">
        <f t="shared" si="79"/>
        <v>0.10227444344259566</v>
      </c>
      <c r="AE263" s="2">
        <f t="shared" si="80"/>
        <v>0.10987695088187602</v>
      </c>
      <c r="AF263" s="2">
        <f t="shared" si="81"/>
        <v>0.11908712371493149</v>
      </c>
      <c r="AG263" s="2">
        <f t="shared" si="82"/>
        <v>9.9235315312320327E-2</v>
      </c>
      <c r="AH263" s="2">
        <f t="shared" si="83"/>
        <v>0.1199891551819615</v>
      </c>
      <c r="AI263" s="2">
        <f t="shared" si="84"/>
        <v>0.10099811712417744</v>
      </c>
      <c r="AJ263" s="2">
        <f>0*(8350/2783.333)</f>
        <v>0</v>
      </c>
      <c r="AK263" s="2">
        <f>0*(8350/2783.333)</f>
        <v>0</v>
      </c>
      <c r="AL263" s="2">
        <f>0*(8350/2783.333)</f>
        <v>0</v>
      </c>
      <c r="AM263" s="2">
        <f>0*(8350/2783.333)</f>
        <v>0</v>
      </c>
      <c r="AN263" s="2">
        <f>0.0273288388817004*(8350/2783.333)</f>
        <v>8.1986526463846923E-2</v>
      </c>
      <c r="AO263" s="2">
        <f>0.0268631560353527*(8350/2783.333)</f>
        <v>8.0589477757492561E-2</v>
      </c>
      <c r="AP263" s="2">
        <f>0.0797944590186196*(8350/2783.333)</f>
        <v>0.23938340572453012</v>
      </c>
      <c r="AQ263" s="2">
        <f>0.149914195641734*(8350/2783.333)</f>
        <v>0.44974264078659704</v>
      </c>
      <c r="AR263" s="2">
        <f>0.134428884937402*(8350/2783.333)</f>
        <v>0.40328670311001386</v>
      </c>
      <c r="AS263" s="2">
        <f>0.13795207092961*(8350/2783.333)</f>
        <v>0.41385626235245448</v>
      </c>
      <c r="AT263" s="2">
        <f>0.138210086252449*(8350/2783.333)</f>
        <v>0.41463030841367071</v>
      </c>
      <c r="AU263" s="2">
        <f>0.12970508709186*(8350/2783.333)</f>
        <v>0.38911530787621657</v>
      </c>
      <c r="AV263" s="2">
        <f>0.158148334905369*(8350/2783.333)</f>
        <v>0.47444506153587362</v>
      </c>
      <c r="AW263" s="2">
        <f>0.163205252276647*(8350/2783.333)</f>
        <v>0.4896158154665653</v>
      </c>
    </row>
    <row r="264" spans="1:49" x14ac:dyDescent="0.25">
      <c r="A264" s="5">
        <v>45886</v>
      </c>
      <c r="B264" s="2">
        <f>0.326871935292874*(8350/2783.333)</f>
        <v>0.98061592331765446</v>
      </c>
      <c r="C264" s="2">
        <f>0.26287578867251*(8350/2783.333)</f>
        <v>0.78862746046393362</v>
      </c>
      <c r="D264" s="2">
        <f>0.210081128370892*(8350/2783.333)</f>
        <v>0.63024346059093383</v>
      </c>
      <c r="E264" s="2">
        <f>0.227010405468558*(8350/2783.333)</f>
        <v>0.68103129796630901</v>
      </c>
      <c r="F264" s="2">
        <f>0.192554255813829*(8350/2783.333)</f>
        <v>0.57766283662266504</v>
      </c>
      <c r="G264" s="2">
        <f>0.244007528200928*(8350/2783.333)</f>
        <v>0.73202267227017048</v>
      </c>
      <c r="H264" s="2">
        <f>0.250208823563433*(8350/2783.333)</f>
        <v>0.75062656058569543</v>
      </c>
      <c r="I264" s="2">
        <f>0.260486813450834*(8350/2783.333)</f>
        <v>0.78146053394058845</v>
      </c>
      <c r="J264" s="2">
        <f>0.204393881470253*(8350/2783.333)</f>
        <v>0.61318171784569642</v>
      </c>
      <c r="K264" s="2">
        <f>0.273413187180389*(8350/2783.333)</f>
        <v>0.82023965977346247</v>
      </c>
      <c r="L264" s="2">
        <f>0.246303862127727*(8350/2783.333)</f>
        <v>0.73891167487559573</v>
      </c>
      <c r="M264" s="2">
        <f>0.269177670977661*(8350/2783.333)</f>
        <v>0.80753310964353497</v>
      </c>
      <c r="N264" s="2">
        <f>0.213151956527299*(8350/2783.333)</f>
        <v>0.6394559461634477</v>
      </c>
      <c r="O264" s="2">
        <f>0.311735704537082*(8350/2783.333)</f>
        <v>0.93520722561211045</v>
      </c>
      <c r="P264" s="2">
        <f>0.284073781516152*(8350/2783.333)</f>
        <v>0.85222144661090615</v>
      </c>
      <c r="Q264" s="2">
        <f>0.197153981202732*(8350/2783.333)</f>
        <v>0.59146201444196955</v>
      </c>
      <c r="R264" s="2">
        <f>0.197629013208353*(8350/2783.333)</f>
        <v>0.59288711062950483</v>
      </c>
      <c r="S264" s="2">
        <f>0.110938783810708*(8350/2783.333)</f>
        <v>0.33281639129037538</v>
      </c>
      <c r="T264" s="2">
        <f t="shared" si="69"/>
        <v>0.10069243236843764</v>
      </c>
      <c r="U264" s="2">
        <f t="shared" si="70"/>
        <v>0.11437794326585224</v>
      </c>
      <c r="V264" s="2">
        <f t="shared" si="71"/>
        <v>0.11043877033537902</v>
      </c>
      <c r="W264" s="2">
        <f t="shared" si="72"/>
        <v>0.10705744606724045</v>
      </c>
      <c r="X264" s="2">
        <f t="shared" si="73"/>
        <v>0.11728533803050227</v>
      </c>
      <c r="Y264" s="2">
        <f t="shared" si="74"/>
        <v>0.10928020503416074</v>
      </c>
      <c r="Z264" s="2">
        <f t="shared" si="75"/>
        <v>0.10579568013572224</v>
      </c>
      <c r="AA264" s="2">
        <f t="shared" si="76"/>
        <v>0.11798772791544039</v>
      </c>
      <c r="AB264" s="2">
        <f t="shared" si="77"/>
        <v>0.10026757173055721</v>
      </c>
      <c r="AC264" s="2">
        <f t="shared" si="78"/>
        <v>0.1151901624778385</v>
      </c>
      <c r="AD264" s="2">
        <f t="shared" si="79"/>
        <v>0.10227444344259566</v>
      </c>
      <c r="AE264" s="2">
        <f t="shared" si="80"/>
        <v>0.10987695088187602</v>
      </c>
      <c r="AF264" s="2">
        <f t="shared" si="81"/>
        <v>0.11908712371493149</v>
      </c>
      <c r="AG264" s="2">
        <f t="shared" si="82"/>
        <v>9.9235315312320327E-2</v>
      </c>
      <c r="AH264" s="2">
        <f t="shared" si="83"/>
        <v>0.1199891551819615</v>
      </c>
      <c r="AI264" s="2">
        <f t="shared" si="84"/>
        <v>0.10099811712417744</v>
      </c>
      <c r="AJ264" s="2">
        <f>0*(8350/2783.333)</f>
        <v>0</v>
      </c>
      <c r="AK264" s="2">
        <f>0*(8350/2783.333)</f>
        <v>0</v>
      </c>
      <c r="AL264" s="2">
        <f>0.000574863028175284*(8350/2783.333)</f>
        <v>1.7245892910634905E-3</v>
      </c>
      <c r="AM264" s="2">
        <f>0.000991475341851695*(8350/2783.333)</f>
        <v>2.9744263817738123E-3</v>
      </c>
      <c r="AN264" s="2">
        <f>0*(8350/2783.333)</f>
        <v>0</v>
      </c>
      <c r="AO264" s="2">
        <f>0.0156701743539557*(8350/2783.333)</f>
        <v>4.7010528691870682E-2</v>
      </c>
      <c r="AP264" s="2">
        <f>0.0603039544149067*(8350/2783.333)</f>
        <v>0.180911884910814</v>
      </c>
      <c r="AQ264" s="2">
        <f>0.15855331878041*(8350/2783.333)</f>
        <v>0.47566001330650226</v>
      </c>
      <c r="AR264" s="2">
        <f>0.147496091249664*(8350/2783.333)</f>
        <v>0.44248832674160693</v>
      </c>
      <c r="AS264" s="2">
        <f>0.136022671336189*(8350/2783.333)</f>
        <v>0.40806806287899372</v>
      </c>
      <c r="AT264" s="2">
        <f>0.133127627564636*(8350/2783.333)</f>
        <v>0.39938293052420026</v>
      </c>
      <c r="AU264" s="2">
        <f>0.129041633960956*(8350/2783.333)</f>
        <v>0.3871249482451361</v>
      </c>
      <c r="AV264" s="2">
        <f>0.211587292341561*(8350/2783.333)</f>
        <v>0.6347619530440779</v>
      </c>
      <c r="AW264" s="2">
        <f>0.134605474734834*(8350/2783.333)</f>
        <v>0.40381647256575737</v>
      </c>
    </row>
    <row r="265" spans="1:49" x14ac:dyDescent="0.25">
      <c r="A265" s="5">
        <v>45887</v>
      </c>
      <c r="B265" s="2">
        <f>0.338545932981905*(8350/2783.333)</f>
        <v>1.0156379205789998</v>
      </c>
      <c r="C265" s="2">
        <f>0.282579458390194*(8350/2783.333)</f>
        <v>0.84773847669614766</v>
      </c>
      <c r="D265" s="2">
        <f>0.234336305203285*(8350/2783.333)</f>
        <v>0.70300899980255016</v>
      </c>
      <c r="E265" s="2">
        <f>0.263610042268591*(8350/2783.333)</f>
        <v>0.79083022151597926</v>
      </c>
      <c r="F265" s="2">
        <f>0.219504040096089*(8350/2783.333)</f>
        <v>0.65851219915200365</v>
      </c>
      <c r="G265" s="2">
        <f>0.583722863579696*(8350/2783.333)</f>
        <v>1.7511688004599022</v>
      </c>
      <c r="H265" s="2">
        <f>0.560104866488372*(8350/2783.333)</f>
        <v>1.6803148007004221</v>
      </c>
      <c r="I265" s="2">
        <f>0.401214930914432*(8350/2783.333)</f>
        <v>1.2036449368923909</v>
      </c>
      <c r="J265" s="2">
        <f>0.283220203975254*(8350/2783.333)</f>
        <v>0.84966071368153706</v>
      </c>
      <c r="K265" s="2">
        <f>0.264508926295204*(8350/2783.333)</f>
        <v>0.79352687391877119</v>
      </c>
      <c r="L265" s="2">
        <f>0.203450318548071*(8350/2783.333)</f>
        <v>0.6103510287401458</v>
      </c>
      <c r="M265" s="2">
        <f>0.266974907712705*(8350/2783.333)</f>
        <v>0.80092481905725466</v>
      </c>
      <c r="N265" s="2">
        <f>0.498011225601675*(8350/2783.333)</f>
        <v>1.494033855731234</v>
      </c>
      <c r="O265" s="2">
        <f>0.281688889641941*(8350/2783.333)</f>
        <v>0.84506677013142506</v>
      </c>
      <c r="P265" s="2">
        <f>0.279332034024988*(8350/2783.333)</f>
        <v>0.83799620243378914</v>
      </c>
      <c r="Q265" s="2">
        <f>0.177815911276148*(8350/2783.333)</f>
        <v>0.53344779771440776</v>
      </c>
      <c r="R265" s="2">
        <f>0.273554283819472*(8350/2783.333)</f>
        <v>0.82066294974140486</v>
      </c>
      <c r="S265" s="2">
        <f>0.0408316357081079*(8350/2783.333)</f>
        <v>0.1224949217943742</v>
      </c>
      <c r="T265" s="2">
        <f t="shared" si="69"/>
        <v>0.10069243236843764</v>
      </c>
      <c r="U265" s="2">
        <f t="shared" si="70"/>
        <v>0.11437794326585224</v>
      </c>
      <c r="V265" s="2">
        <f t="shared" si="71"/>
        <v>0.11043877033537902</v>
      </c>
      <c r="W265" s="2">
        <f t="shared" si="72"/>
        <v>0.10705744606724045</v>
      </c>
      <c r="X265" s="2">
        <f t="shared" si="73"/>
        <v>0.11728533803050227</v>
      </c>
      <c r="Y265" s="2">
        <f t="shared" si="74"/>
        <v>0.10928020503416074</v>
      </c>
      <c r="Z265" s="2">
        <f t="shared" si="75"/>
        <v>0.10579568013572224</v>
      </c>
      <c r="AA265" s="2">
        <f t="shared" si="76"/>
        <v>0.11798772791544039</v>
      </c>
      <c r="AB265" s="2">
        <f t="shared" si="77"/>
        <v>0.10026757173055721</v>
      </c>
      <c r="AC265" s="2">
        <f t="shared" si="78"/>
        <v>0.1151901624778385</v>
      </c>
      <c r="AD265" s="2">
        <f t="shared" si="79"/>
        <v>0.10227444344259566</v>
      </c>
      <c r="AE265" s="2">
        <f t="shared" si="80"/>
        <v>0.10987695088187602</v>
      </c>
      <c r="AF265" s="2">
        <f t="shared" si="81"/>
        <v>0.11908712371493149</v>
      </c>
      <c r="AG265" s="2">
        <f t="shared" si="82"/>
        <v>9.9235315312320327E-2</v>
      </c>
      <c r="AH265" s="2">
        <f t="shared" si="83"/>
        <v>0.1199891551819615</v>
      </c>
      <c r="AI265" s="2">
        <f t="shared" si="84"/>
        <v>0.10099811712417744</v>
      </c>
      <c r="AJ265" s="2">
        <f>0.0109153128352017*(8350/2783.333)</f>
        <v>3.2745942427274702E-2</v>
      </c>
      <c r="AK265" s="2">
        <f>0.0380714999050071*(8350/2783.333)</f>
        <v>0.1142145133934062</v>
      </c>
      <c r="AL265" s="2">
        <f>0.106637091726515*(8350/2783.333)</f>
        <v>0.31991131349227747</v>
      </c>
      <c r="AM265" s="2">
        <f>0.0618019629754223*(8350/2783.333)</f>
        <v>0.18540591113056765</v>
      </c>
      <c r="AN265" s="2">
        <f>0.0499993529540201*(8350/2783.333)</f>
        <v>0.14999807682590172</v>
      </c>
      <c r="AO265" s="2">
        <f>0.0495475989096505*(8350/2783.333)</f>
        <v>0.14864281453048631</v>
      </c>
      <c r="AP265" s="2">
        <f>0.0839590967544557*(8350/2783.333)</f>
        <v>0.25187732042831562</v>
      </c>
      <c r="AQ265" s="2">
        <f>0.11383315194491*(8350/2783.333)</f>
        <v>0.34149949673287361</v>
      </c>
      <c r="AR265" s="2">
        <f>0.153212994011279*(8350/2783.333)</f>
        <v>0.45963903708042886</v>
      </c>
      <c r="AS265" s="2">
        <f>0.216575104361521*(8350/2783.333)</f>
        <v>0.64972539089598613</v>
      </c>
      <c r="AT265" s="2">
        <f>0.136078732609173*(8350/2783.333)</f>
        <v>0.40823624671808656</v>
      </c>
      <c r="AU265" s="2">
        <f>0.159394614699844*(8350/2783.333)</f>
        <v>0.47818390136706418</v>
      </c>
      <c r="AV265" s="2">
        <f>0.178439649178242*(8350/2783.333)</f>
        <v>0.53531901164478601</v>
      </c>
      <c r="AW265" s="2">
        <f>0.123414257435864*(8350/2783.333)</f>
        <v>0.37024281664805025</v>
      </c>
    </row>
    <row r="266" spans="1:49" x14ac:dyDescent="0.25">
      <c r="A266" s="5">
        <v>45888</v>
      </c>
      <c r="B266" s="2">
        <f>0.341347692427273*(8350/2783.333)</f>
        <v>1.0240431999217219</v>
      </c>
      <c r="C266" s="2">
        <f>1.15578843100071*(8350/2783.333)</f>
        <v>3.4673657082555023</v>
      </c>
      <c r="D266" s="2">
        <f>0.311013960996013*(8350/2783.333)</f>
        <v>0.9330419947295947</v>
      </c>
      <c r="E266" s="2">
        <f>0.244615294055916*(8350/2783.333)</f>
        <v>0.73384597005349261</v>
      </c>
      <c r="F266" s="2">
        <f>0.195288291900435*(8350/2783.333)</f>
        <v>0.58586494586477178</v>
      </c>
      <c r="G266" s="2">
        <f>0.244955130252194*(8350/2783.333)</f>
        <v>0.7348654787644231</v>
      </c>
      <c r="H266" s="2">
        <f>0.23540639316178*(8350/2783.333)</f>
        <v>0.70621926406249647</v>
      </c>
      <c r="I266" s="2">
        <f>0.23905140483055*(8350/2783.333)</f>
        <v>0.71715430037839345</v>
      </c>
      <c r="J266" s="2">
        <f>0.190926067574927*(8350/2783.333)</f>
        <v>0.57277827132098025</v>
      </c>
      <c r="K266" s="2">
        <f>0.264508926295204*(8350/2783.333)</f>
        <v>0.79352687391877119</v>
      </c>
      <c r="L266" s="2">
        <f>0.173910497245591*(8350/2783.333)</f>
        <v>0.52173155421959294</v>
      </c>
      <c r="M266" s="2">
        <f>0.402224572181022*(8350/2783.333)</f>
        <v>1.2066738610549068</v>
      </c>
      <c r="N266" s="2">
        <f>0.685947423870661*(8350/2783.333)</f>
        <v>2.0578425180601885</v>
      </c>
      <c r="O266" s="2">
        <f>0.235116326554474*(8350/2783.333)</f>
        <v>0.70534906413636256</v>
      </c>
      <c r="P266" s="2">
        <f>0.367700964542152*(8350/2783.333)</f>
        <v>1.1031030257346017</v>
      </c>
      <c r="Q266" s="2">
        <f>0.111311817138384*(8350/2783.333)</f>
        <v>0.33393549140742762</v>
      </c>
      <c r="R266" s="2">
        <f>0.0320077121203736*(8350/2783.333)</f>
        <v>9.6023147860899119E-2</v>
      </c>
      <c r="S266" s="2">
        <f>0.0277346959526771*(8350/2783.333)</f>
        <v>8.3204097822593817E-2</v>
      </c>
      <c r="T266" s="2">
        <f t="shared" si="69"/>
        <v>0.10069243236843764</v>
      </c>
      <c r="U266" s="2">
        <f t="shared" si="70"/>
        <v>0.11437794326585224</v>
      </c>
      <c r="V266" s="2">
        <f t="shared" si="71"/>
        <v>0.11043877033537902</v>
      </c>
      <c r="W266" s="2">
        <f t="shared" si="72"/>
        <v>0.10705744606724045</v>
      </c>
      <c r="X266" s="2">
        <f t="shared" si="73"/>
        <v>0.11728533803050227</v>
      </c>
      <c r="Y266" s="2">
        <f t="shared" si="74"/>
        <v>0.10928020503416074</v>
      </c>
      <c r="Z266" s="2">
        <f t="shared" si="75"/>
        <v>0.10579568013572224</v>
      </c>
      <c r="AA266" s="2">
        <f t="shared" si="76"/>
        <v>0.11798772791544039</v>
      </c>
      <c r="AB266" s="2">
        <f t="shared" si="77"/>
        <v>0.10026757173055721</v>
      </c>
      <c r="AC266" s="2">
        <f t="shared" si="78"/>
        <v>0.1151901624778385</v>
      </c>
      <c r="AD266" s="2">
        <f t="shared" si="79"/>
        <v>0.10227444344259566</v>
      </c>
      <c r="AE266" s="2">
        <f t="shared" si="80"/>
        <v>0.10987695088187602</v>
      </c>
      <c r="AF266" s="2">
        <f t="shared" si="81"/>
        <v>0.11908712371493149</v>
      </c>
      <c r="AG266" s="2">
        <f t="shared" si="82"/>
        <v>9.9235315312320327E-2</v>
      </c>
      <c r="AH266" s="2">
        <f t="shared" si="83"/>
        <v>0.1199891551819615</v>
      </c>
      <c r="AI266" s="2">
        <f t="shared" si="84"/>
        <v>0.10099811712417744</v>
      </c>
      <c r="AJ266" s="2">
        <f>0*(8350/2783.333)</f>
        <v>0</v>
      </c>
      <c r="AK266" s="2">
        <f>0.125905747717346*(8350/2783.333)</f>
        <v>0.37771728838764257</v>
      </c>
      <c r="AL266" s="2">
        <f>0.0181081853875214*(8350/2783.333)</f>
        <v>5.4324562668499943E-2</v>
      </c>
      <c r="AM266" s="2">
        <f>0.124925893073314*(8350/2783.333)</f>
        <v>0.3747777241035003</v>
      </c>
      <c r="AN266" s="2">
        <f>0.0217388491104435*(8350/2783.333)</f>
        <v>6.5216555141696386E-2</v>
      </c>
      <c r="AO266" s="2">
        <f>0.0361160208919742*(8350/2783.333)</f>
        <v>0.10834807565173994</v>
      </c>
      <c r="AP266" s="2">
        <f>0.0787949459620189*(8350/2783.333)</f>
        <v>0.2363848661956216</v>
      </c>
      <c r="AQ266" s="2">
        <f>0.171427306202751*(8350/2783.333)</f>
        <v>0.51428198019891047</v>
      </c>
      <c r="AR266" s="2">
        <f>0.250727021116539*(8350/2783.333)</f>
        <v>0.75218115343119285</v>
      </c>
      <c r="AS266" s="2">
        <f>0.177504762594743*(8350/2783.333)</f>
        <v>0.5325143515584031</v>
      </c>
      <c r="AT266" s="2">
        <f>0.21477486713014*(8350/2783.333)</f>
        <v>0.64432467855505215</v>
      </c>
      <c r="AU266" s="2">
        <f>0.136671344966359*(8350/2783.333)</f>
        <v>0.4100140840025604</v>
      </c>
      <c r="AV266" s="2">
        <f>0.122832154338842*(8350/2783.333)</f>
        <v>0.36849650714784332</v>
      </c>
      <c r="AW266" s="2">
        <f>0.131030502542108*(8350/2783.333)</f>
        <v>0.3930915547031566</v>
      </c>
    </row>
    <row r="267" spans="1:49" x14ac:dyDescent="0.25">
      <c r="A267" s="5">
        <v>45889</v>
      </c>
      <c r="B267" s="2">
        <f>0.346951211318008*(8350/2783.333)</f>
        <v>1.0408537586071678</v>
      </c>
      <c r="C267" s="2">
        <f>0.273448489496633*(8350/2783.333)</f>
        <v>0.82034556673487802</v>
      </c>
      <c r="D267" s="2">
        <f>0.203430515368461*(8350/2783.333)</f>
        <v>0.61029161919420027</v>
      </c>
      <c r="E267" s="2">
        <f>0.256660744142003*(8350/2783.333)</f>
        <v>0.76998232463945981</v>
      </c>
      <c r="F267" s="2">
        <f>0.200365787489846*(8350/2783.333)</f>
        <v>0.60109743445725616</v>
      </c>
      <c r="G267" s="2">
        <f>0.254431150764851*(8350/2783.333)</f>
        <v>0.76329354370695401</v>
      </c>
      <c r="H267" s="2">
        <f>0.246388841524297*(8350/2783.333)</f>
        <v>0.73916661309583775</v>
      </c>
      <c r="I267" s="2">
        <f>0.238119430542712*(8350/2783.333)</f>
        <v>0.71435837718003692</v>
      </c>
      <c r="J267" s="2">
        <f>0.197263862349198*(8350/2783.333)</f>
        <v>0.59179165792084709</v>
      </c>
      <c r="K267" s="2">
        <f>0.260318685878646*(8350/2783.333)</f>
        <v>0.78095615116362227</v>
      </c>
      <c r="L267" s="2">
        <f>0.20802691058085*(8350/2783.333)</f>
        <v>0.62408080648276631</v>
      </c>
      <c r="M267" s="2">
        <f>0.221597984454605*(8350/2783.333)</f>
        <v>0.66479403297986661</v>
      </c>
      <c r="N267" s="2">
        <f>0.273827374836364*(8350/2783.333)</f>
        <v>0.82148222289019612</v>
      </c>
      <c r="O267" s="2">
        <f>0.308355437861378*(8350/2783.333)</f>
        <v>0.92506642437053355</v>
      </c>
      <c r="P267" s="2">
        <f>0.485813583867532*(8350/2783.333)</f>
        <v>1.4574409261464201</v>
      </c>
      <c r="Q267" s="2">
        <f>0.494299933733165*(8350/2783.333)</f>
        <v>1.4828999787923065</v>
      </c>
      <c r="R267" s="2">
        <f>0.293652149569474*(8350/2783.333)</f>
        <v>0.88095655421220176</v>
      </c>
      <c r="S267" s="2">
        <f>0.0372877578919325*(8350/2783.333)</f>
        <v>0.11186328707259834</v>
      </c>
      <c r="T267" s="2">
        <f t="shared" si="69"/>
        <v>0.10069243236843764</v>
      </c>
      <c r="U267" s="2">
        <f t="shared" si="70"/>
        <v>0.11437794326585224</v>
      </c>
      <c r="V267" s="2">
        <f t="shared" si="71"/>
        <v>0.11043877033537902</v>
      </c>
      <c r="W267" s="2">
        <f t="shared" si="72"/>
        <v>0.10705744606724045</v>
      </c>
      <c r="X267" s="2">
        <f t="shared" si="73"/>
        <v>0.11728533803050227</v>
      </c>
      <c r="Y267" s="2">
        <f t="shared" si="74"/>
        <v>0.10928020503416074</v>
      </c>
      <c r="Z267" s="2">
        <f t="shared" si="75"/>
        <v>0.10579568013572224</v>
      </c>
      <c r="AA267" s="2">
        <f t="shared" si="76"/>
        <v>0.11798772791544039</v>
      </c>
      <c r="AB267" s="2">
        <f t="shared" si="77"/>
        <v>0.10026757173055721</v>
      </c>
      <c r="AC267" s="2">
        <f t="shared" si="78"/>
        <v>0.1151901624778385</v>
      </c>
      <c r="AD267" s="2">
        <f t="shared" si="79"/>
        <v>0.10227444344259566</v>
      </c>
      <c r="AE267" s="2">
        <f t="shared" si="80"/>
        <v>0.10987695088187602</v>
      </c>
      <c r="AF267" s="2">
        <f t="shared" si="81"/>
        <v>0.11908712371493149</v>
      </c>
      <c r="AG267" s="2">
        <f t="shared" si="82"/>
        <v>9.9235315312320327E-2</v>
      </c>
      <c r="AH267" s="2">
        <f t="shared" si="83"/>
        <v>0.1199891551819615</v>
      </c>
      <c r="AI267" s="2">
        <f t="shared" si="84"/>
        <v>0.10099811712417744</v>
      </c>
      <c r="AJ267" s="2">
        <f>0.0777716039508118*(8350/2783.333)</f>
        <v>0.23331483979433226</v>
      </c>
      <c r="AK267" s="2">
        <f>0.00209842912862244*(8350/2783.333)</f>
        <v>6.2952881397940396E-3</v>
      </c>
      <c r="AL267" s="2">
        <f>0.131356201938052*(8350/2783.333)</f>
        <v>0.39406865300800759</v>
      </c>
      <c r="AM267" s="2">
        <f>0.184744905365032*(8350/2783.333)</f>
        <v>0.55423478247052027</v>
      </c>
      <c r="AN267" s="2">
        <f>0.115215900285351*(8350/2783.333)</f>
        <v>0.34564774225099071</v>
      </c>
      <c r="AO267" s="2">
        <f>0.0392500557627653*(8350/2783.333)</f>
        <v>0.11775018139011417</v>
      </c>
      <c r="AP267" s="2">
        <f>0.0503088238489*(8350/2783.333)</f>
        <v>0.15092648962172883</v>
      </c>
      <c r="AQ267" s="2">
        <f>0.104685845092194*(8350/2783.333)</f>
        <v>0.31405757288826769</v>
      </c>
      <c r="AR267" s="2">
        <f>0.149619512275407*(8350/2783.333)</f>
        <v>0.44885859058174088</v>
      </c>
      <c r="AS267" s="2">
        <f>0.23474361719957*(8350/2783.333)</f>
        <v>0.70423093593774333</v>
      </c>
      <c r="AT267" s="2">
        <f>0.152801661194878*(8350/2783.333)</f>
        <v>0.45840503848344194</v>
      </c>
      <c r="AU267" s="2">
        <f>0.257917404639185*(8350/2783.333)</f>
        <v>0.7737523065825026</v>
      </c>
      <c r="AV267" s="2">
        <f>0.14172940885251*(8350/2783.333)</f>
        <v>0.42518827747828031</v>
      </c>
      <c r="AW267" s="2">
        <f>0.11828494950717*(8350/2783.333)</f>
        <v>0.35485489101910117</v>
      </c>
    </row>
    <row r="268" spans="1:49" x14ac:dyDescent="0.25">
      <c r="A268" s="5">
        <v>45890</v>
      </c>
      <c r="B268" s="2">
        <f>0.345550331595324*(8350/2783.333)</f>
        <v>1.0366511189358063</v>
      </c>
      <c r="C268" s="2">
        <f>0.353224322987742*(8350/2783.333)</f>
        <v>1.059673095870185</v>
      </c>
      <c r="D268" s="2">
        <f>0.183869888890724*(8350/2783.333)</f>
        <v>0.551609732733219</v>
      </c>
      <c r="E268" s="2">
        <f>0.2381292824711*(8350/2783.333)</f>
        <v>0.71438793296874081</v>
      </c>
      <c r="F268" s="2">
        <f>0.201537517241249*(8350/2783.333)</f>
        <v>0.60461262413244443</v>
      </c>
      <c r="G268" s="2">
        <f>0.240690921021498*(8350/2783.333)</f>
        <v>0.72207284954028472</v>
      </c>
      <c r="H268" s="2">
        <f>0.244956348259621*(8350/2783.333)</f>
        <v>0.73486913278714117</v>
      </c>
      <c r="I268" s="2">
        <f>0.241381340550146*(8350/2783.333)</f>
        <v>0.72414410837428422</v>
      </c>
      <c r="J268" s="2">
        <f>0.211127788417917*(8350/2783.333)</f>
        <v>0.633383441108055</v>
      </c>
      <c r="K268" s="2">
        <f>0.269222946763832*(8350/2783.333)</f>
        <v>0.80766893701831366</v>
      </c>
      <c r="L268" s="2">
        <f>0.22758144017545*(8350/2783.333)</f>
        <v>0.68274440229214672</v>
      </c>
      <c r="M268" s="2">
        <f>0.23745787996229*(8350/2783.333)</f>
        <v>0.71237372520108977</v>
      </c>
      <c r="N268" s="2">
        <f>0.453489652426841*(8350/2783.333)</f>
        <v>1.3604691202109576</v>
      </c>
      <c r="O268" s="2">
        <f>0.23699425248542*(8350/2783.333)</f>
        <v>0.71098284260390543</v>
      </c>
      <c r="P268" s="2">
        <f>0.280194169932472*(8350/2783.333)</f>
        <v>0.84058261046599203</v>
      </c>
      <c r="Q268" s="2">
        <f>0.156591200381117*(8350/2783.333)</f>
        <v>0.46977365740366955</v>
      </c>
      <c r="R268" s="2">
        <f>0.0461506546851899*(8350/2783.333)</f>
        <v>0.13845198063664518</v>
      </c>
      <c r="S268" s="2">
        <f>0.00755000056489542*(8350/2783.333)</f>
        <v>2.2650004407261653E-2</v>
      </c>
      <c r="T268" s="2">
        <f t="shared" si="69"/>
        <v>0.10069243236843764</v>
      </c>
      <c r="U268" s="2">
        <f t="shared" si="70"/>
        <v>0.11437794326585224</v>
      </c>
      <c r="V268" s="2">
        <f t="shared" si="71"/>
        <v>0.11043877033537902</v>
      </c>
      <c r="W268" s="2">
        <f t="shared" si="72"/>
        <v>0.10705744606724045</v>
      </c>
      <c r="X268" s="2">
        <f t="shared" si="73"/>
        <v>0.11728533803050227</v>
      </c>
      <c r="Y268" s="2">
        <f t="shared" si="74"/>
        <v>0.10928020503416074</v>
      </c>
      <c r="Z268" s="2">
        <f t="shared" si="75"/>
        <v>0.10579568013572224</v>
      </c>
      <c r="AA268" s="2">
        <f t="shared" si="76"/>
        <v>0.11798772791544039</v>
      </c>
      <c r="AB268" s="2">
        <f t="shared" si="77"/>
        <v>0.10026757173055721</v>
      </c>
      <c r="AC268" s="2">
        <f t="shared" si="78"/>
        <v>0.1151901624778385</v>
      </c>
      <c r="AD268" s="2">
        <f t="shared" si="79"/>
        <v>0.10227444344259566</v>
      </c>
      <c r="AE268" s="2">
        <f t="shared" si="80"/>
        <v>0.10987695088187602</v>
      </c>
      <c r="AF268" s="2">
        <f t="shared" si="81"/>
        <v>0.11908712371493149</v>
      </c>
      <c r="AG268" s="2">
        <f t="shared" si="82"/>
        <v>9.9235315312320327E-2</v>
      </c>
      <c r="AH268" s="2">
        <f t="shared" si="83"/>
        <v>0.1199891551819615</v>
      </c>
      <c r="AI268" s="2">
        <f t="shared" si="84"/>
        <v>0.10099811712417744</v>
      </c>
      <c r="AJ268" s="2">
        <f>0.0063672658205343*(8350/2783.333)</f>
        <v>1.9101799749243576E-2</v>
      </c>
      <c r="AK268" s="2">
        <f>0.184661763318775*(8350/2783.333)</f>
        <v>0.5539853563018754</v>
      </c>
      <c r="AL268" s="2">
        <f>0.104337639613814*(8350/2783.333)</f>
        <v>0.31301295632802328</v>
      </c>
      <c r="AM268" s="2">
        <f>0.188710806732439*(8350/2783.333)</f>
        <v>0.56613248799761584</v>
      </c>
      <c r="AN268" s="2">
        <f>0.0590054475854895*(8350/2783.333)</f>
        <v>0.17701636395603307</v>
      </c>
      <c r="AO268" s="2">
        <f>0.047905961596379*(8350/2783.333)</f>
        <v>0.14371790200086174</v>
      </c>
      <c r="AP268" s="2">
        <f>0.0822932416601212*(8350/2783.333)</f>
        <v>0.24687975454680139</v>
      </c>
      <c r="AQ268" s="2">
        <f>0.139581126789592*(8350/2783.333)</f>
        <v>0.4187434305176902</v>
      </c>
      <c r="AR268" s="2">
        <f>0.135408925410822*(8350/2783.333)</f>
        <v>0.40622682488238365</v>
      </c>
      <c r="AS268" s="2">
        <f>0.136505021234544*(8350/2783.333)</f>
        <v>0.40951511274735897</v>
      </c>
      <c r="AT268" s="2">
        <f>0.195592684340654*(8350/2783.333)</f>
        <v>0.58677812329479173</v>
      </c>
      <c r="AU268" s="2">
        <f>0.209982915931324*(8350/2783.333)</f>
        <v>0.62994882323694423</v>
      </c>
      <c r="AV268" s="2">
        <f>0.188507858550278*(8350/2783.333)</f>
        <v>0.56552364337821615</v>
      </c>
      <c r="AW268" s="2">
        <f>0.132273971130882*(8350/2783.333)</f>
        <v>0.39682196091623534</v>
      </c>
    </row>
    <row r="269" spans="1:49" x14ac:dyDescent="0.25">
      <c r="A269" s="5">
        <v>45891</v>
      </c>
      <c r="B269" s="2">
        <f>0.328739774923119*(8350/2783.333)</f>
        <v>0.98621944287946994</v>
      </c>
      <c r="C269" s="2">
        <f>0.24990020129745*(8350/2783.333)</f>
        <v>0.74970069367686532</v>
      </c>
      <c r="D269" s="2">
        <f>0.203039302838906*(8350/2783.333)</f>
        <v>0.60911798146498042</v>
      </c>
      <c r="E269" s="2">
        <f>0.231179984344511*(8350/2783.333)</f>
        <v>0.69354003609222115</v>
      </c>
      <c r="F269" s="2">
        <f>0.207005589414461*(8350/2783.333)</f>
        <v>0.62101684261665846</v>
      </c>
      <c r="G269" s="2">
        <f>0.200417833842704*(8350/2783.333)</f>
        <v>0.60125357353452824</v>
      </c>
      <c r="H269" s="2">
        <f>0.241613863975376*(8350/2783.333)</f>
        <v>0.72484167873351524</v>
      </c>
      <c r="I269" s="2">
        <f>0.231595610527843*(8350/2783.333)</f>
        <v>0.69478691479154309</v>
      </c>
      <c r="J269" s="2">
        <f>0.208751115377565*(8350/2783.333)</f>
        <v>0.62625342113310467</v>
      </c>
      <c r="K269" s="2">
        <f>0.259794905826577*(8350/2783.333)</f>
        <v>0.77938481081922872</v>
      </c>
      <c r="L269" s="2">
        <f>0.216764040825246*(8350/2783.333)</f>
        <v>0.65029220035504287</v>
      </c>
      <c r="M269" s="2">
        <f>0.239660643227247*(8350/2783.333)</f>
        <v>0.71898201578737042</v>
      </c>
      <c r="N269" s="2">
        <f>0.345928683606226*(8350/2783.333)</f>
        <v>1.0377861751044488</v>
      </c>
      <c r="O269" s="2">
        <f>0.414270460366748*(8350/2783.333)</f>
        <v>1.2428115299399494</v>
      </c>
      <c r="P269" s="2">
        <f>0.440120380770852*(8350/2783.333)</f>
        <v>1.3203613004396579</v>
      </c>
      <c r="Q269" s="2">
        <f>0.815972218853412*(8350/2783.333)</f>
        <v>2.4479169497239415</v>
      </c>
      <c r="R269" s="2">
        <f>0.0387070007037077*(8350/2783.333)</f>
        <v>0.11612101601783147</v>
      </c>
      <c r="S269" s="2">
        <f>0.0292755123944925*(8350/2783.333)</f>
        <v>8.7826547701626831E-2</v>
      </c>
      <c r="T269" s="2">
        <f t="shared" si="69"/>
        <v>0.10069243236843764</v>
      </c>
      <c r="U269" s="2">
        <f t="shared" si="70"/>
        <v>0.11437794326585224</v>
      </c>
      <c r="V269" s="2">
        <f t="shared" si="71"/>
        <v>0.11043877033537902</v>
      </c>
      <c r="W269" s="2">
        <f t="shared" si="72"/>
        <v>0.10705744606724045</v>
      </c>
      <c r="X269" s="2">
        <f t="shared" si="73"/>
        <v>0.11728533803050227</v>
      </c>
      <c r="Y269" s="2">
        <f t="shared" si="74"/>
        <v>0.10928020503416074</v>
      </c>
      <c r="Z269" s="2">
        <f t="shared" si="75"/>
        <v>0.10579568013572224</v>
      </c>
      <c r="AA269" s="2">
        <f t="shared" si="76"/>
        <v>0.11798772791544039</v>
      </c>
      <c r="AB269" s="2">
        <f t="shared" si="77"/>
        <v>0.10026757173055721</v>
      </c>
      <c r="AC269" s="2">
        <f t="shared" si="78"/>
        <v>0.1151901624778385</v>
      </c>
      <c r="AD269" s="2">
        <f t="shared" si="79"/>
        <v>0.10227444344259566</v>
      </c>
      <c r="AE269" s="2">
        <f t="shared" si="80"/>
        <v>0.10987695088187602</v>
      </c>
      <c r="AF269" s="2">
        <f t="shared" si="81"/>
        <v>0.11908712371493149</v>
      </c>
      <c r="AG269" s="2">
        <f t="shared" si="82"/>
        <v>9.9235315312320327E-2</v>
      </c>
      <c r="AH269" s="2">
        <f t="shared" si="83"/>
        <v>0.1199891551819615</v>
      </c>
      <c r="AI269" s="2">
        <f t="shared" si="84"/>
        <v>0.10099811712417744</v>
      </c>
      <c r="AJ269" s="2">
        <f>0*(8350/2783.333)</f>
        <v>0</v>
      </c>
      <c r="AK269" s="2">
        <f>0.000899326769409617*(8350/2783.333)</f>
        <v>2.6979806313403038E-3</v>
      </c>
      <c r="AL269" s="2">
        <f>0.112960585036443*(8350/2783.333)</f>
        <v>0.33888179569397581</v>
      </c>
      <c r="AM269" s="2">
        <f>0.278935062840943*(8350/2783.333)</f>
        <v>0.83680528873903237</v>
      </c>
      <c r="AN269" s="2">
        <f>0.179190227667513*(8350/2783.333)</f>
        <v>0.53757074738226895</v>
      </c>
      <c r="AO269" s="2">
        <f>0.178789227390847*(8350/2783.333)</f>
        <v>0.53636774640820017</v>
      </c>
      <c r="AP269" s="2">
        <f>0.131602552452421*(8350/2783.333)</f>
        <v>0.39480770463962167</v>
      </c>
      <c r="AQ269" s="2">
        <f>0.211573819611894*(8350/2783.333)</f>
        <v>0.63472153485023675</v>
      </c>
      <c r="AR269" s="2">
        <f>0.147986111486374*(8350/2783.333)</f>
        <v>0.44395838762779177</v>
      </c>
      <c r="AS269" s="2">
        <f>0.162551915745729*(8350/2783.333)</f>
        <v>0.48765580563908106</v>
      </c>
      <c r="AT269" s="2">
        <f>0.141489091857489*(8350/2783.333)</f>
        <v>0.42446732640687795</v>
      </c>
      <c r="AU269" s="2">
        <f>0.152760083390797*(8350/2783.333)</f>
        <v>0.45828030505626016</v>
      </c>
      <c r="AV269" s="2">
        <f>0.112144362851603*(8350/2783.333)</f>
        <v>0.3364331288462023</v>
      </c>
      <c r="AW269" s="2">
        <f>0.112689340857685*(8350/2783.333)</f>
        <v>0.33806806306024728</v>
      </c>
    </row>
    <row r="270" spans="1:49" x14ac:dyDescent="0.25">
      <c r="A270" s="5">
        <v>45892</v>
      </c>
      <c r="B270" s="2">
        <f>0.342281612242395*(8350/2783.333)</f>
        <v>1.0268449597026297</v>
      </c>
      <c r="C270" s="2">
        <f>0.312375251621813*(8350/2783.333)</f>
        <v>0.93712586709608214</v>
      </c>
      <c r="D270" s="2">
        <f>0.296147884872933*(8350/2783.333)</f>
        <v>0.88844376101924938</v>
      </c>
      <c r="E270" s="2">
        <f>0.296966673276216*(8350/2783.333)</f>
        <v>0.89090012652327399</v>
      </c>
      <c r="F270" s="2">
        <f>0.246063247794548*(8350/2783.333)</f>
        <v>0.73818983178961239</v>
      </c>
      <c r="G270" s="2">
        <f>0.295651839994911*(8350/2783.333)</f>
        <v>0.88695562620696367</v>
      </c>
      <c r="H270" s="2">
        <f>0.295571110278178*(8350/2783.333)</f>
        <v>0.88671343702775896</v>
      </c>
      <c r="I270" s="2">
        <f>0.28611610636639*(8350/2783.333)</f>
        <v>0.85834842189538707</v>
      </c>
      <c r="J270" s="2">
        <f>0.23806341620857*(8350/2783.333)</f>
        <v>0.71419033415748778</v>
      </c>
      <c r="K270" s="2">
        <f>0.300125969835944*(8350/2783.333)</f>
        <v>0.90037801733753609</v>
      </c>
      <c r="L270" s="2">
        <f>0.250048346518182*(8350/2783.333)</f>
        <v>0.7501451293922855</v>
      </c>
      <c r="M270" s="2">
        <f>0.273142644854583*(8350/2783.333)</f>
        <v>0.81942803269884157</v>
      </c>
      <c r="N270" s="2">
        <f>0.230093794107103*(8350/2783.333)</f>
        <v>0.6902814649897473</v>
      </c>
      <c r="O270" s="2">
        <f>0.213707970941686*(8350/2783.333)</f>
        <v>0.6411239896063744</v>
      </c>
      <c r="P270" s="2">
        <f>0.540128146039057*(8350/2783.333)</f>
        <v>1.6203846321752122</v>
      </c>
      <c r="Q270" s="2">
        <f>0.592876924334531*(8350/2783.333)</f>
        <v>1.7786309860132912</v>
      </c>
      <c r="R270" s="2">
        <f>0.201723022898169*(8350/2783.333)</f>
        <v>0.60516914116985265</v>
      </c>
      <c r="S270" s="2">
        <f>0.109552049013074*(8350/2783.333)</f>
        <v>0.32865618639924554</v>
      </c>
      <c r="T270" s="2">
        <f t="shared" si="69"/>
        <v>0.10069243236843764</v>
      </c>
      <c r="U270" s="2">
        <f t="shared" si="70"/>
        <v>0.11437794326585224</v>
      </c>
      <c r="V270" s="2">
        <f t="shared" si="71"/>
        <v>0.11043877033537902</v>
      </c>
      <c r="W270" s="2">
        <f t="shared" si="72"/>
        <v>0.10705744606724045</v>
      </c>
      <c r="X270" s="2">
        <f t="shared" si="73"/>
        <v>0.11728533803050227</v>
      </c>
      <c r="Y270" s="2">
        <f t="shared" si="74"/>
        <v>0.10928020503416074</v>
      </c>
      <c r="Z270" s="2">
        <f t="shared" si="75"/>
        <v>0.10579568013572224</v>
      </c>
      <c r="AA270" s="2">
        <f t="shared" si="76"/>
        <v>0.11798772791544039</v>
      </c>
      <c r="AB270" s="2">
        <f t="shared" si="77"/>
        <v>0.10026757173055721</v>
      </c>
      <c r="AC270" s="2">
        <f t="shared" si="78"/>
        <v>0.1151901624778385</v>
      </c>
      <c r="AD270" s="2">
        <f t="shared" si="79"/>
        <v>0.10227444344259566</v>
      </c>
      <c r="AE270" s="2">
        <f t="shared" si="80"/>
        <v>0.10987695088187602</v>
      </c>
      <c r="AF270" s="2">
        <f t="shared" si="81"/>
        <v>0.11908712371493149</v>
      </c>
      <c r="AG270" s="2">
        <f t="shared" si="82"/>
        <v>9.9235315312320327E-2</v>
      </c>
      <c r="AH270" s="2">
        <f t="shared" si="83"/>
        <v>0.1199891551819615</v>
      </c>
      <c r="AI270" s="2">
        <f t="shared" si="84"/>
        <v>0.10099811712417744</v>
      </c>
      <c r="AJ270" s="2">
        <f>0.00181921880586694*(8350/2783.333)</f>
        <v>5.4576570712124512E-3</v>
      </c>
      <c r="AK270" s="2">
        <f>0.0488634211379225*(8350/2783.333)</f>
        <v>0.14659028096948987</v>
      </c>
      <c r="AL270" s="2">
        <f>0.348654426588309*(8350/2783.333)</f>
        <v>1.0459634050300068</v>
      </c>
      <c r="AM270" s="2">
        <f>0.305374405290322*(8350/2783.333)</f>
        <v>0.91612332558633369</v>
      </c>
      <c r="AN270" s="2">
        <f>0.114905345298059*(8350/2783.333)</f>
        <v>0.34471607717753805</v>
      </c>
      <c r="AO270" s="2">
        <f>0.0719335622724444*(8350/2783.333)</f>
        <v>0.21580071266173004</v>
      </c>
      <c r="AP270" s="2">
        <f>0.0917886156978276*(8350/2783.333)</f>
        <v>0.27536588007143242</v>
      </c>
      <c r="AQ270" s="2">
        <f>0.122472275083586*(8350/2783.333)</f>
        <v>0.36741686925277889</v>
      </c>
      <c r="AR270" s="2">
        <f>0.117278176652557*(8350/2783.333)</f>
        <v>0.35183457209354818</v>
      </c>
      <c r="AS270" s="2">
        <f>0.200175207817441*(8350/2783.333)</f>
        <v>0.60052569537156852</v>
      </c>
      <c r="AT270" s="2">
        <f>0.208544756480563*(8350/2783.333)</f>
        <v>0.62563434436795895</v>
      </c>
      <c r="AU270" s="2">
        <f>0.221261619156703*(8350/2783.333)</f>
        <v>0.66378493696531071</v>
      </c>
      <c r="AV270" s="2">
        <f>0.142968573082914*(8350/2783.333)</f>
        <v>0.42890577061470286</v>
      </c>
      <c r="AW270" s="2">
        <f>0.112378473710491*(8350/2783.333)</f>
        <v>0.33713546150697765</v>
      </c>
    </row>
    <row r="271" spans="1:49" x14ac:dyDescent="0.25">
      <c r="A271" s="5">
        <v>45893</v>
      </c>
      <c r="B271" s="2">
        <f>0.332008494276048*(8350/2783.333)</f>
        <v>0.99602560211264657</v>
      </c>
      <c r="C271" s="2">
        <f>0.338326426371933*(8350/2783.333)</f>
        <v>1.0149794006702175</v>
      </c>
      <c r="D271" s="2">
        <f>0.251940869033248*(8350/2783.333)</f>
        <v>0.75582269761743259</v>
      </c>
      <c r="E271" s="2">
        <f>0.252027878724277*(8350/2783.333)</f>
        <v>0.75608372672178037</v>
      </c>
      <c r="F271" s="2">
        <f>0.218722886928487*(8350/2783.333)</f>
        <v>0.65616873936854447</v>
      </c>
      <c r="G271" s="2">
        <f>0.251588344611054*(8350/2783.333)</f>
        <v>0.75476512422419451</v>
      </c>
      <c r="H271" s="2">
        <f>0.26357876070041*(8350/2783.333)</f>
        <v>0.7907363768001987</v>
      </c>
      <c r="I271" s="2">
        <f>0.242779301981904*(8350/2783.333)</f>
        <v>0.72833799317181869</v>
      </c>
      <c r="J271" s="2">
        <f>0.21588113449862*(8350/2783.333)</f>
        <v>0.64764348105795444</v>
      </c>
      <c r="K271" s="2">
        <f>0.276032087440738*(8350/2783.333)</f>
        <v>0.82809636149543076</v>
      </c>
      <c r="L271" s="2">
        <f>0.227997493996612*(8350/2783.333)</f>
        <v>0.68399256390511243</v>
      </c>
      <c r="M271" s="2">
        <f>0.233052353432378*(8350/2783.333)</f>
        <v>0.69915714402852758</v>
      </c>
      <c r="N271" s="2">
        <f>0.185572220932269*(8350/2783.333)</f>
        <v>0.55671672946947071</v>
      </c>
      <c r="O271" s="2">
        <f>0.188168178280817*(8350/2783.333)</f>
        <v>0.56450460244779233</v>
      </c>
      <c r="P271" s="2">
        <f>0.204326210073833*(8350/2783.333)</f>
        <v>0.61297870363212337</v>
      </c>
      <c r="Q271" s="2">
        <f>0.612686654503226*(8350/2783.333)</f>
        <v>1.838060183636647</v>
      </c>
      <c r="R271" s="2">
        <f>0.39190838212504*(8350/2783.333)</f>
        <v>1.1757252871805435</v>
      </c>
      <c r="S271" s="2">
        <f>0.298610226423823*(8350/2783.333)</f>
        <v>0.89583078655659365</v>
      </c>
      <c r="T271" s="2">
        <f t="shared" si="69"/>
        <v>0.10069243236843764</v>
      </c>
      <c r="U271" s="2">
        <f t="shared" si="70"/>
        <v>0.11437794326585224</v>
      </c>
      <c r="V271" s="2">
        <f t="shared" si="71"/>
        <v>0.11043877033537902</v>
      </c>
      <c r="W271" s="2">
        <f t="shared" si="72"/>
        <v>0.10705744606724045</v>
      </c>
      <c r="X271" s="2">
        <f t="shared" si="73"/>
        <v>0.11728533803050227</v>
      </c>
      <c r="Y271" s="2">
        <f t="shared" si="74"/>
        <v>0.10928020503416074</v>
      </c>
      <c r="Z271" s="2">
        <f t="shared" si="75"/>
        <v>0.10579568013572224</v>
      </c>
      <c r="AA271" s="2">
        <f t="shared" si="76"/>
        <v>0.11798772791544039</v>
      </c>
      <c r="AB271" s="2">
        <f t="shared" si="77"/>
        <v>0.10026757173055721</v>
      </c>
      <c r="AC271" s="2">
        <f t="shared" si="78"/>
        <v>0.1151901624778385</v>
      </c>
      <c r="AD271" s="2">
        <f t="shared" si="79"/>
        <v>0.10227444344259566</v>
      </c>
      <c r="AE271" s="2">
        <f t="shared" si="80"/>
        <v>0.10987695088187602</v>
      </c>
      <c r="AF271" s="2">
        <f t="shared" si="81"/>
        <v>0.11908712371493149</v>
      </c>
      <c r="AG271" s="2">
        <f t="shared" si="82"/>
        <v>9.9235315312320327E-2</v>
      </c>
      <c r="AH271" s="2">
        <f t="shared" si="83"/>
        <v>0.1199891551819615</v>
      </c>
      <c r="AI271" s="2">
        <f t="shared" si="84"/>
        <v>0.10099811712417744</v>
      </c>
      <c r="AJ271" s="2">
        <f>0.00500285171613409*(8350/2783.333)</f>
        <v>1.5008556945834244E-2</v>
      </c>
      <c r="AK271" s="2">
        <f>0*(8350/2783.333)</f>
        <v>0</v>
      </c>
      <c r="AL271" s="2">
        <f>0*(8350/2783.333)</f>
        <v>0</v>
      </c>
      <c r="AM271" s="2">
        <f>0.0389980301128333*(8350/2783.333)</f>
        <v>0.11699410434976995</v>
      </c>
      <c r="AN271" s="2">
        <f>0.0316766087037891*(8350/2783.333)</f>
        <v>9.50298374921862E-2</v>
      </c>
      <c r="AO271" s="2">
        <f>0.0395485352742693*(8350/2783.333)</f>
        <v>0.11864562003186407</v>
      </c>
      <c r="AP271" s="2">
        <f>0.0801276300374865*(8350/2783.333)</f>
        <v>0.24038291890083296</v>
      </c>
      <c r="AQ271" s="2">
        <f>0.112308600802791*(8350/2783.333)</f>
        <v>0.33692584275877274</v>
      </c>
      <c r="AR271" s="2">
        <f>0.115318095705718*(8350/2783.333)</f>
        <v>0.34595432854880892</v>
      </c>
      <c r="AS271" s="2">
        <f>0.111744393118973*(8350/2783.333)</f>
        <v>0.33523321950461088</v>
      </c>
      <c r="AT271" s="2">
        <f>0.21477486713014*(8350/2783.333)</f>
        <v>0.64432467855505215</v>
      </c>
      <c r="AU271" s="2">
        <f>0.402384323893674*(8350/2783.333)</f>
        <v>1.2071531162502578</v>
      </c>
      <c r="AV271" s="2">
        <f>0.152417200339748*(8350/2783.333)</f>
        <v>0.45725165577992138</v>
      </c>
      <c r="AW271" s="2">
        <f>0.121238187405509*(8350/2783.333)</f>
        <v>0.36371460577516301</v>
      </c>
    </row>
    <row r="272" spans="1:49" x14ac:dyDescent="0.25">
      <c r="A272" s="5">
        <v>45894</v>
      </c>
      <c r="B272" s="2">
        <f>0.347418171225569*(8350/2783.333)</f>
        <v>1.0422546384976212</v>
      </c>
      <c r="C272" s="2">
        <f>0.349379704506243*(8350/2783.333)</f>
        <v>1.0481392390443871</v>
      </c>
      <c r="D272" s="2">
        <f>0.289106059340948*(8350/2783.333)</f>
        <v>0.86731828189329563</v>
      </c>
      <c r="E272" s="2">
        <f>0.264536615352136*(8350/2783.333)</f>
        <v>0.79360994109951521</v>
      </c>
      <c r="F272" s="2">
        <f>0.200756364073647*(8350/2783.333)</f>
        <v>0.60226916434898581</v>
      </c>
      <c r="G272" s="2">
        <f>0.211789058457893*(8350/2783.333)</f>
        <v>0.63536725146556505</v>
      </c>
      <c r="H272" s="2">
        <f>0.25641629437703*(8350/2783.333)</f>
        <v>0.76924897525671476</v>
      </c>
      <c r="I272" s="2">
        <f>0.253031019148126*(8350/2783.333)</f>
        <v>0.75909314835373798</v>
      </c>
      <c r="J272" s="2">
        <f>0.210731676244525*(8350/2783.333)</f>
        <v>0.63219510444556293</v>
      </c>
      <c r="K272" s="2">
        <f>0.269222946763832*(8350/2783.333)</f>
        <v>0.80766893701831366</v>
      </c>
      <c r="L272" s="2">
        <f>0.223004848142671*(8350/2783.333)</f>
        <v>0.66901462454952609</v>
      </c>
      <c r="M272" s="2">
        <f>0.223800747719561*(8350/2783.333)</f>
        <v>0.67140232356614782</v>
      </c>
      <c r="N272" s="2">
        <f>0.19778610383864*(8350/2783.333)</f>
        <v>0.59335838257680351</v>
      </c>
      <c r="O272" s="2">
        <f>0.318496237888488*(8350/2783.333)</f>
        <v>0.95548882809526403</v>
      </c>
      <c r="P272" s="2">
        <f>0.265106791551493*(8350/2783.333)</f>
        <v>0.79532046990243821</v>
      </c>
      <c r="Q272" s="2">
        <f>0.249508268077141*(8350/2783.333)</f>
        <v>0.74852489387512433</v>
      </c>
      <c r="R272" s="2">
        <f>0.430615382828748*(8350/2783.333)</f>
        <v>1.2918463031983751</v>
      </c>
      <c r="S272" s="2">
        <f>0.0456081666777356*(8350/2783.333)</f>
        <v>0.13682451641937651</v>
      </c>
      <c r="T272" s="2">
        <f t="shared" si="69"/>
        <v>0.10069243236843764</v>
      </c>
      <c r="U272" s="2">
        <f t="shared" si="70"/>
        <v>0.11437794326585224</v>
      </c>
      <c r="V272" s="2">
        <f t="shared" si="71"/>
        <v>0.11043877033537902</v>
      </c>
      <c r="W272" s="2">
        <f t="shared" si="72"/>
        <v>0.10705744606724045</v>
      </c>
      <c r="X272" s="2">
        <f t="shared" si="73"/>
        <v>0.11728533803050227</v>
      </c>
      <c r="Y272" s="2">
        <f t="shared" si="74"/>
        <v>0.10928020503416074</v>
      </c>
      <c r="Z272" s="2">
        <f t="shared" si="75"/>
        <v>0.10579568013572224</v>
      </c>
      <c r="AA272" s="2">
        <f t="shared" si="76"/>
        <v>0.11798772791544039</v>
      </c>
      <c r="AB272" s="2">
        <f t="shared" si="77"/>
        <v>0.10026757173055721</v>
      </c>
      <c r="AC272" s="2">
        <f t="shared" si="78"/>
        <v>0.1151901624778385</v>
      </c>
      <c r="AD272" s="2">
        <f t="shared" si="79"/>
        <v>0.10227444344259566</v>
      </c>
      <c r="AE272" s="2">
        <f t="shared" si="80"/>
        <v>0.10987695088187602</v>
      </c>
      <c r="AF272" s="2">
        <f t="shared" si="81"/>
        <v>0.11908712371493149</v>
      </c>
      <c r="AG272" s="2">
        <f t="shared" si="82"/>
        <v>9.9235315312320327E-2</v>
      </c>
      <c r="AH272" s="2">
        <f t="shared" si="83"/>
        <v>0.1199891551819615</v>
      </c>
      <c r="AI272" s="2">
        <f t="shared" si="84"/>
        <v>0.10099811712417744</v>
      </c>
      <c r="AJ272" s="2">
        <f>0.0444192591765845*(8350/2783.333)</f>
        <v>0.13325779348877068</v>
      </c>
      <c r="AK272" s="2">
        <f>0.00149887794901603*(8350/2783.333)</f>
        <v>4.4966343855671713E-3</v>
      </c>
      <c r="AL272" s="2">
        <f>0.069845857923297*(8350/2783.333)</f>
        <v>0.20953759886421405</v>
      </c>
      <c r="AM272" s="2">
        <f>0.1169940903385*(8350/2783.333)</f>
        <v>0.35098231304930966</v>
      </c>
      <c r="AN272" s="2">
        <f>0.153414163722273*(8350/2783.333)</f>
        <v>0.46024254628568562</v>
      </c>
      <c r="AO272" s="2">
        <f>0.0864098185803845*(8350/2783.333)</f>
        <v>0.25922948678660102</v>
      </c>
      <c r="AP272" s="2">
        <f>0.0849586098110563*(8350/2783.333)</f>
        <v>0.25487585995722412</v>
      </c>
      <c r="AQ272" s="2">
        <f>0.256124591876048*(8350/2783.333)</f>
        <v>0.7683738676489652</v>
      </c>
      <c r="AR272" s="2">
        <f>0.167913601112575*(8350/2783.333)</f>
        <v>0.50374086366597159</v>
      </c>
      <c r="AS272" s="2">
        <f>0.274296308864703*(8350/2783.333)</f>
        <v>0.82288902514369155</v>
      </c>
      <c r="AT272" s="2">
        <f>0.129028870558336*(8350/2783.333)</f>
        <v>0.3870866580326916</v>
      </c>
      <c r="AU272" s="2">
        <f>0.106484227510197*(8350/2783.333)</f>
        <v>0.31945272078840276</v>
      </c>
      <c r="AV272" s="2">
        <f>0.101456571364365*(8350/2783.333)</f>
        <v>0.3043697505445615</v>
      </c>
      <c r="AW272" s="2">
        <f>0.0985448856603754*(8350/2783.333)</f>
        <v>0.2956346923864786</v>
      </c>
    </row>
    <row r="273" spans="1:49" x14ac:dyDescent="0.25">
      <c r="A273" s="5">
        <v>45895</v>
      </c>
      <c r="B273" s="2">
        <f>0.30305698000725*(8350/2783.333)</f>
        <v>0.90917104890451117</v>
      </c>
      <c r="C273" s="2">
        <f>0.320064488584812*(8350/2783.333)</f>
        <v>0.96019358074767802</v>
      </c>
      <c r="D273" s="2">
        <f>0.210863553430001*(8350/2783.333)</f>
        <v>0.63259073604937255</v>
      </c>
      <c r="E273" s="2">
        <f>0.240445715179963*(8350/2783.333)</f>
        <v>0.72133723192758048</v>
      </c>
      <c r="F273" s="2">
        <f>0.189820219727223*(8350/2783.333)</f>
        <v>0.56946072738055842</v>
      </c>
      <c r="G273" s="2">
        <f>0.244955130252194*(8350/2783.333)</f>
        <v>0.7348654787644231</v>
      </c>
      <c r="H273" s="2">
        <f>0.234451397651995*(8350/2783.333)</f>
        <v>0.70335427719003163</v>
      </c>
      <c r="I273" s="2">
        <f>0.238119430542712*(8350/2783.333)</f>
        <v>0.71435837718003692</v>
      </c>
      <c r="J273" s="2">
        <f>0.190133843228143*(8350/2783.333)</f>
        <v>0.57040159799599699</v>
      </c>
      <c r="K273" s="2">
        <f>0.245652844420694*(8350/2783.333)</f>
        <v>0.73695862152060099</v>
      </c>
      <c r="L273" s="2">
        <f>0.219260363752216*(8350/2783.333)</f>
        <v>0.65778117003283632</v>
      </c>
      <c r="M273" s="2">
        <f>0.218514115883666*(8350/2783.333)</f>
        <v>0.65554242615907321</v>
      </c>
      <c r="N273" s="2">
        <f>0.487767323809235*(8350/2783.333)</f>
        <v>1.4633021466734712</v>
      </c>
      <c r="O273" s="2">
        <f>0.467979141991812*(8350/2783.333)</f>
        <v>1.4039375941116741</v>
      </c>
      <c r="P273" s="2">
        <f>0.37114950817209*(8350/2783.333)</f>
        <v>1.1134486578634137</v>
      </c>
      <c r="Q273" s="2">
        <f>0.586273680944966*(8350/2783.333)</f>
        <v>1.758821253472173</v>
      </c>
      <c r="R273" s="2">
        <f>0.137707598657421*(8350/2783.333)</f>
        <v>0.41312284544805411</v>
      </c>
      <c r="S273" s="2">
        <f>0.0653306171329727*(8350/2783.333)</f>
        <v>0.19599187487099878</v>
      </c>
      <c r="T273" s="2">
        <f t="shared" si="69"/>
        <v>0.10069243236843764</v>
      </c>
      <c r="U273" s="2">
        <f t="shared" si="70"/>
        <v>0.11437794326585224</v>
      </c>
      <c r="V273" s="2">
        <f t="shared" si="71"/>
        <v>0.11043877033537902</v>
      </c>
      <c r="W273" s="2">
        <f t="shared" si="72"/>
        <v>0.10705744606724045</v>
      </c>
      <c r="X273" s="2">
        <f t="shared" si="73"/>
        <v>0.11728533803050227</v>
      </c>
      <c r="Y273" s="2">
        <f t="shared" si="74"/>
        <v>0.10928020503416074</v>
      </c>
      <c r="Z273" s="2">
        <f t="shared" si="75"/>
        <v>0.10579568013572224</v>
      </c>
      <c r="AA273" s="2">
        <f t="shared" si="76"/>
        <v>0.11798772791544039</v>
      </c>
      <c r="AB273" s="2">
        <f t="shared" si="77"/>
        <v>0.10026757173055721</v>
      </c>
      <c r="AC273" s="2">
        <f t="shared" si="78"/>
        <v>0.1151901624778385</v>
      </c>
      <c r="AD273" s="2">
        <f t="shared" si="79"/>
        <v>0.10227444344259566</v>
      </c>
      <c r="AE273" s="2">
        <f t="shared" si="80"/>
        <v>0.10987695088187602</v>
      </c>
      <c r="AF273" s="2">
        <f t="shared" si="81"/>
        <v>0.11908712371493149</v>
      </c>
      <c r="AG273" s="2">
        <f t="shared" si="82"/>
        <v>9.9235315312320327E-2</v>
      </c>
      <c r="AH273" s="2">
        <f t="shared" si="83"/>
        <v>0.1199891551819615</v>
      </c>
      <c r="AI273" s="2">
        <f t="shared" si="84"/>
        <v>0.10099811712417744</v>
      </c>
      <c r="AJ273" s="2">
        <f>0.0109153128352017*(8350/2783.333)</f>
        <v>3.2745942427274702E-2</v>
      </c>
      <c r="AK273" s="2">
        <f>0.162778145263141*(8350/2783.333)</f>
        <v>0.48833449427259501</v>
      </c>
      <c r="AL273" s="2">
        <f>0.111235995951917*(8350/2783.333)</f>
        <v>0.33370802782078518</v>
      </c>
      <c r="AM273" s="2">
        <f>0.133849171149979*(8350/2783.333)</f>
        <v>0.40154756153946469</v>
      </c>
      <c r="AN273" s="2">
        <f>0.0903715013019866*(8350/2783.333)</f>
        <v>0.27111453637476646</v>
      </c>
      <c r="AO273" s="2">
        <f>0.0929763678334707*(8350/2783.333)</f>
        <v>0.27892913690509924</v>
      </c>
      <c r="AP273" s="2">
        <f>0.0864578793959573*(8350/2783.333)</f>
        <v>0.25937366925058691</v>
      </c>
      <c r="AQ273" s="2">
        <f>0.115696492229723*(8350/2783.333)</f>
        <v>0.34708951825677475</v>
      </c>
      <c r="AR273" s="2">
        <f>0.171017062611737*(8350/2783.333)</f>
        <v>0.51305124927847434</v>
      </c>
      <c r="AS273" s="2">
        <f>0.240531815979833*(8350/2783.333)</f>
        <v>0.7215955343581264</v>
      </c>
      <c r="AT273" s="2">
        <f>0.171491993143608*(8350/2783.333)</f>
        <v>0.51447604104472089</v>
      </c>
      <c r="AU273" s="2">
        <f>0.150106270867179*(8350/2783.333)</f>
        <v>0.4503188665319387</v>
      </c>
      <c r="AV273" s="2">
        <f>0.103315317709972*(8350/2783.333)</f>
        <v>0.30994599024919478</v>
      </c>
      <c r="AW273" s="2">
        <f>0.103363326441876*(8350/2783.333)</f>
        <v>0.31009001646215811</v>
      </c>
    </row>
    <row r="274" spans="1:49" x14ac:dyDescent="0.25">
      <c r="A274" s="5">
        <v>45896</v>
      </c>
      <c r="B274" s="2">
        <f>0.297920421024077*(8350/2783.333)</f>
        <v>0.89376137010951984</v>
      </c>
      <c r="C274" s="2">
        <f>0.259992324811386*(8350/2783.333)</f>
        <v>0.77997706784458465</v>
      </c>
      <c r="D274" s="2">
        <f>0.194823839718257*(8350/2783.333)</f>
        <v>0.58447158915136876</v>
      </c>
      <c r="E274" s="2">
        <f>0.248321586390096*(8350/2783.333)</f>
        <v>0.74496484838763655</v>
      </c>
      <c r="F274" s="2">
        <f>0.205833859663059*(8350/2783.333)</f>
        <v>0.61750165294146953</v>
      </c>
      <c r="G274" s="2">
        <f>0.248745538457257*(8350/2783.333)</f>
        <v>0.74623670474143533</v>
      </c>
      <c r="H274" s="2">
        <f>0.249731325808541*(8350/2783.333)</f>
        <v>0.74919406714946335</v>
      </c>
      <c r="I274" s="2">
        <f>0.239983379118389*(8350/2783.333)</f>
        <v>0.71995022357674976</v>
      </c>
      <c r="J274" s="2">
        <f>0.205978330163821*(8350/2783.333)</f>
        <v>0.61793506449566293</v>
      </c>
      <c r="K274" s="2">
        <f>0.262937586138995*(8350/2783.333)</f>
        <v>0.78881285288559011</v>
      </c>
      <c r="L274" s="2">
        <f>0.216764040825246*(8350/2783.333)</f>
        <v>0.65029220035504287</v>
      </c>
      <c r="M274" s="2">
        <f>0.875378121493638*(8350/2783.333)</f>
        <v>2.6261346789880613</v>
      </c>
      <c r="N274" s="2">
        <f>0.827392067850884*(8350/2783.333)</f>
        <v>2.482176500819298</v>
      </c>
      <c r="O274" s="2">
        <f>0.360186193555496*(8350/2783.333)</f>
        <v>1.0805587100747154</v>
      </c>
      <c r="P274" s="2">
        <f>0.442706788493306*(8350/2783.333)</f>
        <v>1.3281205245362673</v>
      </c>
      <c r="Q274" s="2">
        <f>0.279222863330185*(8350/2783.333)</f>
        <v>0.837668690310158</v>
      </c>
      <c r="R274" s="2">
        <f>0.327148592486144*(8350/2783.333)</f>
        <v>0.98144589499686397</v>
      </c>
      <c r="S274" s="2">
        <f>0.122803070412687*(8350/2783.333)</f>
        <v>0.36840925535892899</v>
      </c>
      <c r="T274" s="2">
        <f t="shared" si="69"/>
        <v>0.10069243236843764</v>
      </c>
      <c r="U274" s="2">
        <f t="shared" si="70"/>
        <v>0.11437794326585224</v>
      </c>
      <c r="V274" s="2">
        <f t="shared" si="71"/>
        <v>0.11043877033537902</v>
      </c>
      <c r="W274" s="2">
        <f t="shared" si="72"/>
        <v>0.10705744606724045</v>
      </c>
      <c r="X274" s="2">
        <f t="shared" si="73"/>
        <v>0.11728533803050227</v>
      </c>
      <c r="Y274" s="2">
        <f t="shared" si="74"/>
        <v>0.10928020503416074</v>
      </c>
      <c r="Z274" s="2">
        <f t="shared" si="75"/>
        <v>0.10579568013572224</v>
      </c>
      <c r="AA274" s="2">
        <f t="shared" si="76"/>
        <v>0.11798772791544039</v>
      </c>
      <c r="AB274" s="2">
        <f t="shared" si="77"/>
        <v>0.10026757173055721</v>
      </c>
      <c r="AC274" s="2">
        <f t="shared" si="78"/>
        <v>0.1151901624778385</v>
      </c>
      <c r="AD274" s="2">
        <f t="shared" si="79"/>
        <v>0.10227444344259566</v>
      </c>
      <c r="AE274" s="2">
        <f t="shared" si="80"/>
        <v>0.10987695088187602</v>
      </c>
      <c r="AF274" s="2">
        <f t="shared" si="81"/>
        <v>0.11908712371493149</v>
      </c>
      <c r="AG274" s="2">
        <f t="shared" si="82"/>
        <v>9.9235315312320327E-2</v>
      </c>
      <c r="AH274" s="2">
        <f t="shared" si="83"/>
        <v>0.1199891551819615</v>
      </c>
      <c r="AI274" s="2">
        <f t="shared" si="84"/>
        <v>0.10099811712417744</v>
      </c>
      <c r="AJ274" s="2">
        <f>0.0351715635800942*(8350/2783.333)</f>
        <v>0.10551470337677407</v>
      </c>
      <c r="AK274" s="2">
        <f>0.183162885369759*(8350/2783.333)</f>
        <v>0.54948872191630838</v>
      </c>
      <c r="AL274" s="2">
        <f>0.00546119876766519*(8350/2783.333)</f>
        <v>1.6383598265103157E-2</v>
      </c>
      <c r="AM274" s="2">
        <f>0.182761954681329*(8350/2783.333)</f>
        <v>0.54828592970697287</v>
      </c>
      <c r="AN274" s="2">
        <f>0.111178685450554*(8350/2783.333)</f>
        <v>0.33353609629610437</v>
      </c>
      <c r="AO274" s="2">
        <f>0.062531457660071*(8350/2783.333)</f>
        <v>0.18759439544660769</v>
      </c>
      <c r="AP274" s="2">
        <f>0.124772546565649*(8350/2783.333)</f>
        <v>0.3743176845254137</v>
      </c>
      <c r="AQ274" s="2">
        <f>0.115357703087029*(8350/2783.333)</f>
        <v>0.34607315070697453</v>
      </c>
      <c r="AR274" s="2">
        <f>0.169056981664898*(8350/2783.333)</f>
        <v>0.50717100573373564</v>
      </c>
      <c r="AS274" s="2">
        <f>0.227669152023692*(8350/2783.333)</f>
        <v>0.68300753786838686</v>
      </c>
      <c r="AT274" s="2">
        <f>0.118372102341955*(8350/2783.333)</f>
        <v>0.35511634955476912</v>
      </c>
      <c r="AU274" s="2">
        <f>0.177805439082448*(8350/2783.333)</f>
        <v>0.5334163811295447</v>
      </c>
      <c r="AV274" s="2">
        <f>0.081475048149093*(8350/2783.333)</f>
        <v>0.24442517371975475</v>
      </c>
      <c r="AW274" s="2">
        <f>0.0716548774281278*(8350/2783.333)</f>
        <v>0.21496465802865394</v>
      </c>
    </row>
    <row r="275" spans="1:49" x14ac:dyDescent="0.25">
      <c r="A275" s="5">
        <v>45897</v>
      </c>
      <c r="B275" s="2">
        <f>0.230211234427696*(8350/2783.333)</f>
        <v>0.69063378599371983</v>
      </c>
      <c r="C275" s="2">
        <f>0.242691541644639*(8350/2783.333)</f>
        <v>0.72807471212849451</v>
      </c>
      <c r="D275" s="2">
        <f>0.204212940427571*(8350/2783.333)</f>
        <v>0.61263889465263988</v>
      </c>
      <c r="E275" s="2">
        <f>0.233959703595147*(8350/2783.333)</f>
        <v>0.70187919484282923</v>
      </c>
      <c r="F275" s="2">
        <f>0.205833859663059*(8350/2783.333)</f>
        <v>0.61750165294146953</v>
      </c>
      <c r="G275" s="2">
        <f>0.240690921021498*(8350/2783.333)</f>
        <v>0.72207284954028472</v>
      </c>
      <c r="H275" s="2">
        <f>0.256893792131922*(8350/2783.333)</f>
        <v>0.77068146869294663</v>
      </c>
      <c r="I275" s="2">
        <f>0.244643250557581*(8350/2783.333)</f>
        <v>0.73392983956853131</v>
      </c>
      <c r="J275" s="2">
        <f>0.202809432776685*(8350/2783.333)</f>
        <v>0.60842837119572935</v>
      </c>
      <c r="K275" s="2">
        <f>0.273936967232459*(8350/2783.333)</f>
        <v>0.82181100011785613</v>
      </c>
      <c r="L275" s="2">
        <f>0.270851037576267*(8350/2783.333)</f>
        <v>0.81255321004056202</v>
      </c>
      <c r="M275" s="2">
        <f>0.290764750974233*(8350/2783.333)</f>
        <v>0.87229435738908878</v>
      </c>
      <c r="N275" s="2">
        <f>0.270675405054075*(8350/2783.333)</f>
        <v>0.81202631241088452</v>
      </c>
      <c r="O275" s="2">
        <f>0.437556741910482*(8350/2783.333)</f>
        <v>1.3126703829374802</v>
      </c>
      <c r="P275" s="2">
        <f>0.239242714326957*(8350/2783.333)</f>
        <v>0.71772822893634691</v>
      </c>
      <c r="Q275" s="2">
        <f>0.425909198626954*(8350/2783.333)</f>
        <v>1.2777277489021495</v>
      </c>
      <c r="R275" s="2">
        <f>0.186091349537056*(8350/2783.333)</f>
        <v>0.55827411547034345</v>
      </c>
      <c r="S275" s="2">
        <f>0.0429887787266494*(8350/2783.333)</f>
        <v>0.1289663516250204</v>
      </c>
      <c r="T275" s="2">
        <f t="shared" si="69"/>
        <v>0.10069243236843764</v>
      </c>
      <c r="U275" s="2">
        <f t="shared" si="70"/>
        <v>0.11437794326585224</v>
      </c>
      <c r="V275" s="2">
        <f t="shared" si="71"/>
        <v>0.11043877033537902</v>
      </c>
      <c r="W275" s="2">
        <f t="shared" si="72"/>
        <v>0.10705744606724045</v>
      </c>
      <c r="X275" s="2">
        <f t="shared" si="73"/>
        <v>0.11728533803050227</v>
      </c>
      <c r="Y275" s="2">
        <f t="shared" si="74"/>
        <v>0.10928020503416074</v>
      </c>
      <c r="Z275" s="2">
        <f t="shared" si="75"/>
        <v>0.10579568013572224</v>
      </c>
      <c r="AA275" s="2">
        <f t="shared" si="76"/>
        <v>0.11798772791544039</v>
      </c>
      <c r="AB275" s="2">
        <f t="shared" si="77"/>
        <v>0.10026757173055721</v>
      </c>
      <c r="AC275" s="2">
        <f t="shared" si="78"/>
        <v>0.1151901624778385</v>
      </c>
      <c r="AD275" s="2">
        <f t="shared" si="79"/>
        <v>0.10227444344259566</v>
      </c>
      <c r="AE275" s="2">
        <f t="shared" si="80"/>
        <v>0.10987695088187602</v>
      </c>
      <c r="AF275" s="2">
        <f t="shared" si="81"/>
        <v>0.11908712371493149</v>
      </c>
      <c r="AG275" s="2">
        <f t="shared" si="82"/>
        <v>9.9235315312320327E-2</v>
      </c>
      <c r="AH275" s="2">
        <f t="shared" si="83"/>
        <v>0.1199891551819615</v>
      </c>
      <c r="AI275" s="2">
        <f t="shared" si="84"/>
        <v>0.10099811712417744</v>
      </c>
      <c r="AJ275" s="2">
        <f>0.0630662519367206*(8350/2783.333)</f>
        <v>0.18919877846869829</v>
      </c>
      <c r="AK275" s="2">
        <f>0.214939097888899*(8350/2783.333)</f>
        <v>0.64481737089033275</v>
      </c>
      <c r="AL275" s="2">
        <f>0.30841401461604*(8350/2783.333)</f>
        <v>0.9252421546555627</v>
      </c>
      <c r="AM275" s="2">
        <f>0.171525234140343*(8350/2783.333)</f>
        <v>0.51457576404686933</v>
      </c>
      <c r="AN275" s="2">
        <f>0.193475757082947*(8350/2783.333)</f>
        <v>0.5804273407610977</v>
      </c>
      <c r="AO275" s="2">
        <f>0.102378472445844*(8350/2783.333)</f>
        <v>0.30713545412022175</v>
      </c>
      <c r="AP275" s="2">
        <f>0.171416489207014*(8350/2783.333)</f>
        <v>0.51424952920781097</v>
      </c>
      <c r="AQ275" s="2">
        <f>0.121625302226853*(8350/2783.333)</f>
        <v>0.36487595037827852</v>
      </c>
      <c r="AR275" s="2">
        <f>0.203195058155684*(8350/2783.333)</f>
        <v>0.60958524747127296</v>
      </c>
      <c r="AS275" s="2">
        <f>0.270115943078957*(8350/2783.333)</f>
        <v>0.81034792628452679</v>
      </c>
      <c r="AT275" s="2">
        <f>0.197724037983931*(8350/2783.333)</f>
        <v>0.59317218499037661</v>
      </c>
      <c r="AU275" s="2">
        <f>0.114279801798327*(8350/2783.333)</f>
        <v>0.34283944645359765</v>
      </c>
      <c r="AV275" s="2">
        <f>0.0991331384323565*(8350/2783.333)</f>
        <v>0.29739945091377007</v>
      </c>
      <c r="AW275" s="2">
        <f>0.098078584939585*(8350/2783.333)</f>
        <v>0.29423579005657408</v>
      </c>
    </row>
    <row r="276" spans="1:49" x14ac:dyDescent="0.25">
      <c r="A276" s="5">
        <v>45898</v>
      </c>
      <c r="B276" s="2">
        <f>0.260096668511616*(8350/2783.333)</f>
        <v>0.78029009898276291</v>
      </c>
      <c r="C276" s="2">
        <f>0.237885768542765*(8350/2783.333)</f>
        <v>0.7136573910962466</v>
      </c>
      <c r="D276" s="2">
        <f>0.199518390072914*(8350/2783.333)</f>
        <v>0.59855524190200415</v>
      </c>
      <c r="E276" s="2">
        <f>0.190410768668525*(8350/2783.333)</f>
        <v>0.57123237441663932</v>
      </c>
      <c r="F276" s="2">
        <f>0.194507138732833*(8350/2783.333)</f>
        <v>0.5835214860813126</v>
      </c>
      <c r="G276" s="2">
        <f>0.247324135380358*(8350/2783.333)</f>
        <v>0.74197249500005602</v>
      </c>
      <c r="H276" s="2">
        <f>0.262623765190626*(8350/2783.333)</f>
        <v>0.78787138992773431</v>
      </c>
      <c r="I276" s="2">
        <f>0.251633057716369*(8350/2783.333)</f>
        <v>0.75489926355620351</v>
      </c>
      <c r="J276" s="2">
        <f>0.222218929272892*(8350/2783.333)</f>
        <v>0.66665686765782151</v>
      </c>
      <c r="K276" s="2">
        <f>0.280222327857296*(8350/2783.333)</f>
        <v>0.84066708425057957</v>
      </c>
      <c r="L276" s="2">
        <f>0.267106553185811*(8350/2783.333)</f>
        <v>0.80131975552387191</v>
      </c>
      <c r="M276" s="2">
        <f>0.292086408933207*(8350/2783.333)</f>
        <v>0.87625933174085813</v>
      </c>
      <c r="N276" s="2">
        <f>0.291163208638954*(8350/2783.333)</f>
        <v>0.87348973052640955</v>
      </c>
      <c r="O276" s="2">
        <f>0.158121363385676*(8350/2783.333)</f>
        <v>0.47436414696710644</v>
      </c>
      <c r="P276" s="2">
        <f>0.16380582242206*(8350/2783.333)</f>
        <v>0.49141752611857981</v>
      </c>
      <c r="Q276" s="2">
        <f>0.0721640170431052*(8350/2783.333)</f>
        <v>0.21649207705651036</v>
      </c>
      <c r="R276" s="2">
        <f>0.00446619238888935*(8350/2783.333)</f>
        <v>1.3398578771288248E-2</v>
      </c>
      <c r="S276" s="2">
        <f>0.0449918401010095*(8350/2783.333)</f>
        <v>0.13497553646776331</v>
      </c>
      <c r="T276" s="2">
        <f t="shared" si="69"/>
        <v>0.10069243236843764</v>
      </c>
      <c r="U276" s="2">
        <f t="shared" si="70"/>
        <v>0.11437794326585224</v>
      </c>
      <c r="V276" s="2">
        <f t="shared" si="71"/>
        <v>0.11043877033537902</v>
      </c>
      <c r="W276" s="2">
        <f t="shared" si="72"/>
        <v>0.10705744606724045</v>
      </c>
      <c r="X276" s="2">
        <f t="shared" si="73"/>
        <v>0.11728533803050227</v>
      </c>
      <c r="Y276" s="2">
        <f t="shared" si="74"/>
        <v>0.10928020503416074</v>
      </c>
      <c r="Z276" s="2">
        <f t="shared" si="75"/>
        <v>0.10579568013572224</v>
      </c>
      <c r="AA276" s="2">
        <f t="shared" si="76"/>
        <v>0.11798772791544039</v>
      </c>
      <c r="AB276" s="2">
        <f t="shared" si="77"/>
        <v>0.10026757173055721</v>
      </c>
      <c r="AC276" s="2">
        <f t="shared" si="78"/>
        <v>0.1151901624778385</v>
      </c>
      <c r="AD276" s="2">
        <f t="shared" si="79"/>
        <v>0.10227444344259566</v>
      </c>
      <c r="AE276" s="2">
        <f t="shared" si="80"/>
        <v>0.10987695088187602</v>
      </c>
      <c r="AF276" s="2">
        <f t="shared" si="81"/>
        <v>0.11908712371493149</v>
      </c>
      <c r="AG276" s="2">
        <f t="shared" si="82"/>
        <v>9.9235315312320327E-2</v>
      </c>
      <c r="AH276" s="2">
        <f t="shared" si="83"/>
        <v>0.1199891551819615</v>
      </c>
      <c r="AI276" s="2">
        <f t="shared" si="84"/>
        <v>0.10099811712417744</v>
      </c>
      <c r="AJ276" s="2">
        <f>0*(8350/2783.333)</f>
        <v>0</v>
      </c>
      <c r="AK276" s="2">
        <f>0.111516519406792*(8350/2783.333)</f>
        <v>0.33454959828619762</v>
      </c>
      <c r="AL276" s="2">
        <f>0.0350666447186923*(8350/2783.333)</f>
        <v>0.10519994675487288</v>
      </c>
      <c r="AM276" s="2">
        <f>0.172516709482195*(8350/2783.333)</f>
        <v>0.51755019042864314</v>
      </c>
      <c r="AN276" s="2">
        <f>0.0406827033352586*(8350/2783.333)</f>
        <v>0.12204812462231754</v>
      </c>
      <c r="AO276" s="2">
        <f>0.0344743835787026*(8350/2783.333)</f>
        <v>0.10342316312211541</v>
      </c>
      <c r="AP276" s="2">
        <f>0.087457392452558*(8350/2783.333)</f>
        <v>0.26237220877949546</v>
      </c>
      <c r="AQ276" s="2">
        <f>0.131619581936302*(8350/2783.333)</f>
        <v>0.39485879309738475</v>
      </c>
      <c r="AR276" s="2">
        <f>0.128221961939077*(8350/2783.333)</f>
        <v>0.38466593188500731</v>
      </c>
      <c r="AS276" s="2">
        <f>0.131359955652088*(8350/2783.333)</f>
        <v>0.39407991415146304</v>
      </c>
      <c r="AT276" s="2">
        <f>0.0883692010558362*(8350/2783.333)</f>
        <v>0.26510763491692607</v>
      </c>
      <c r="AU276" s="2">
        <f>0.122904692500087*(8350/2783.333)</f>
        <v>0.36871412165764234</v>
      </c>
      <c r="AV276" s="2">
        <f>0.0909236754059269*(8350/2783.333)</f>
        <v>0.27277105888497344</v>
      </c>
      <c r="AW276" s="2">
        <f>0.0753852831944512*(8350/2783.333)</f>
        <v>0.22615587666788972</v>
      </c>
    </row>
    <row r="277" spans="1:49" x14ac:dyDescent="0.25">
      <c r="A277" s="5">
        <v>45899</v>
      </c>
      <c r="B277" s="2">
        <f>0.22460771553696*(8350/2783.333)</f>
        <v>0.67382322730827393</v>
      </c>
      <c r="C277" s="2">
        <f>0.234041150061266*(8350/2783.333)</f>
        <v>0.70212353427044938</v>
      </c>
      <c r="D277" s="2">
        <f>0.192085352011374*(8350/2783.333)</f>
        <v>0.57625612504683121</v>
      </c>
      <c r="E277" s="2">
        <f>0.212185236131836*(8350/2783.333)</f>
        <v>0.63655578462973428</v>
      </c>
      <c r="F277" s="2">
        <f>0.178884075380799*(8350/2783.333)</f>
        <v>0.53665229041213092</v>
      </c>
      <c r="G277" s="2">
        <f>0.216053267688589*(8350/2783.333)</f>
        <v>0.6481598806897042</v>
      </c>
      <c r="H277" s="2">
        <f>0.199116563789984*(8350/2783.333)</f>
        <v>0.59734976290884545</v>
      </c>
      <c r="I277" s="2">
        <f>0.206898291900125*(8350/2783.333)</f>
        <v>0.62069495003510045</v>
      </c>
      <c r="J277" s="2">
        <f>0.182211599760303*(8350/2783.333)</f>
        <v>0.54663486474616318</v>
      </c>
      <c r="K277" s="2">
        <f>0.240415043899997*(8350/2783.333)</f>
        <v>0.72124521807666531</v>
      </c>
      <c r="L277" s="2">
        <f>0.226333278711965*(8350/2783.333)</f>
        <v>0.67899991745324972</v>
      </c>
      <c r="M277" s="2">
        <f>0.265653249753731*(8350/2783.333)</f>
        <v>0.79695984470548542</v>
      </c>
      <c r="N277" s="2">
        <f>0.246247639241334*(8350/2783.333)</f>
        <v>0.73874300619621946</v>
      </c>
      <c r="O277" s="2">
        <f>0.457087171592323*(8350/2783.333)</f>
        <v>1.3712616789999259</v>
      </c>
      <c r="P277" s="2">
        <f>0.515988340629491*(8350/2783.333)</f>
        <v>1.5479652072735268</v>
      </c>
      <c r="Q277" s="2">
        <f>0.444303948069314*(8350/2783.333)</f>
        <v>1.3329120038381228</v>
      </c>
      <c r="R277" s="2">
        <f>0.358039756509296*(8350/2783.333)</f>
        <v>1.0741193981649404</v>
      </c>
      <c r="S277" s="2">
        <f>0.050846942579908*(8350/2783.333)</f>
        <v>0.15254084600808868</v>
      </c>
      <c r="T277" s="2">
        <f t="shared" si="69"/>
        <v>0.10069243236843764</v>
      </c>
      <c r="U277" s="2">
        <f t="shared" si="70"/>
        <v>0.11437794326585224</v>
      </c>
      <c r="V277" s="2">
        <f t="shared" si="71"/>
        <v>0.11043877033537902</v>
      </c>
      <c r="W277" s="2">
        <f t="shared" si="72"/>
        <v>0.10705744606724045</v>
      </c>
      <c r="X277" s="2">
        <f t="shared" si="73"/>
        <v>0.11728533803050227</v>
      </c>
      <c r="Y277" s="2">
        <f t="shared" si="74"/>
        <v>0.10928020503416074</v>
      </c>
      <c r="Z277" s="2">
        <f t="shared" si="75"/>
        <v>0.10579568013572224</v>
      </c>
      <c r="AA277" s="2">
        <f t="shared" si="76"/>
        <v>0.11798772791544039</v>
      </c>
      <c r="AB277" s="2">
        <f t="shared" si="77"/>
        <v>0.10026757173055721</v>
      </c>
      <c r="AC277" s="2">
        <f t="shared" si="78"/>
        <v>0.1151901624778385</v>
      </c>
      <c r="AD277" s="2">
        <f t="shared" si="79"/>
        <v>0.10227444344259566</v>
      </c>
      <c r="AE277" s="2">
        <f t="shared" si="80"/>
        <v>0.10987695088187602</v>
      </c>
      <c r="AF277" s="2">
        <f t="shared" si="81"/>
        <v>0.11908712371493149</v>
      </c>
      <c r="AG277" s="2">
        <f t="shared" si="82"/>
        <v>9.9235315312320327E-2</v>
      </c>
      <c r="AH277" s="2">
        <f t="shared" si="83"/>
        <v>0.1199891551819615</v>
      </c>
      <c r="AI277" s="2">
        <f t="shared" si="84"/>
        <v>0.10099811712417744</v>
      </c>
      <c r="AJ277" s="2">
        <f>0.0113701175366684*(8350/2783.333)</f>
        <v>3.4110356695077802E-2</v>
      </c>
      <c r="AK277" s="2">
        <f>0.0803398580672591*(8350/2783.333)</f>
        <v>0.2410196030664005</v>
      </c>
      <c r="AL277" s="2">
        <f>0.0034491781690517*(8350/2783.333)</f>
        <v>1.0347535746380939E-2</v>
      </c>
      <c r="AM277" s="2">
        <f>0.0353626205260437*(8350/2783.333)</f>
        <v>0.10608787428326588</v>
      </c>
      <c r="AN277" s="2">
        <f>0.0736015319882159*(8350/2783.333)</f>
        <v>0.22080462240831492</v>
      </c>
      <c r="AO277" s="2">
        <f>0.0704411647149249*(8350/2783.333)</f>
        <v>0.2113235194529805</v>
      </c>
      <c r="AP277" s="2">
        <f>0.112445218867575*(8350/2783.333)</f>
        <v>0.33733569700220845</v>
      </c>
      <c r="AQ277" s="2">
        <f>0.122133485940893*(8350/2783.333)</f>
        <v>0.36640050170297889</v>
      </c>
      <c r="AR277" s="2">
        <f>0.179510746714708*(8350/2783.333)</f>
        <v>0.53853230463901014</v>
      </c>
      <c r="AS277" s="2">
        <f>0.159014683157791*(8350/2783.333)</f>
        <v>0.47704410660440255</v>
      </c>
      <c r="AT277" s="2">
        <f>0.180181357996965*(8350/2783.333)</f>
        <v>0.54054413872671936</v>
      </c>
      <c r="AU277" s="2">
        <f>0.144964509102667*(8350/2783.333)</f>
        <v>0.4348935793910656</v>
      </c>
      <c r="AV277" s="2">
        <f>0.100991884777963*(8350/2783.333)</f>
        <v>0.30297569061840313</v>
      </c>
      <c r="AW277" s="2">
        <f>0.103363326441876*(8350/2783.333)</f>
        <v>0.31009001646215811</v>
      </c>
    </row>
    <row r="278" spans="1:49" x14ac:dyDescent="0.25">
      <c r="A278" s="5">
        <v>45900</v>
      </c>
      <c r="B278" s="2">
        <f>0.237215633041114*(8350/2783.333)</f>
        <v>0.71164698435052665</v>
      </c>
      <c r="C278" s="2">
        <f>0.237405191232578*(8350/2783.333)</f>
        <v>0.71221565899302219</v>
      </c>
      <c r="D278" s="2">
        <f>0.201865665250242*(8350/2783.333)</f>
        <v>0.60559706827732152</v>
      </c>
      <c r="E278" s="2">
        <f>0.236739422845782*(8350/2783.333)</f>
        <v>0.71021835359343655</v>
      </c>
      <c r="F278" s="2">
        <f>0.202318670408851*(8350/2783.333)</f>
        <v>0.60695608391590372</v>
      </c>
      <c r="G278" s="2">
        <f>0.238795716918966*(8350/2783.333)</f>
        <v>0.71638723655177783</v>
      </c>
      <c r="H278" s="2">
        <f>0.230153917857967*(8350/2783.333)</f>
        <v>0.6904618362639412</v>
      </c>
      <c r="I278" s="2">
        <f>0.243245289125823*(8350/2783.333)</f>
        <v>0.72973595477099651</v>
      </c>
      <c r="J278" s="2">
        <f>0.19171829192171*(8350/2783.333)</f>
        <v>0.57515494464596284</v>
      </c>
      <c r="K278" s="2">
        <f>0.240415043899997*(8350/2783.333)</f>
        <v>0.72124521807666531</v>
      </c>
      <c r="L278" s="2">
        <f>0.214683771719437*(8350/2783.333)</f>
        <v>0.64405139229021524</v>
      </c>
      <c r="M278" s="2">
        <f>0.50619499828696*(8350/2783.333)</f>
        <v>1.5185851767273686</v>
      </c>
      <c r="N278" s="2">
        <f>0.290375216193382*(8350/2783.333)</f>
        <v>0.87112575290658201</v>
      </c>
      <c r="O278" s="2">
        <f>0.320374163819435*(8350/2783.333)</f>
        <v>0.96112260656280768</v>
      </c>
      <c r="P278" s="2">
        <f>0.305627179203265*(8350/2783.333)</f>
        <v>0.91688164741598177</v>
      </c>
      <c r="Q278" s="2">
        <f>0.175457610065589*(8350/2783.333)</f>
        <v>0.52637289323543679</v>
      </c>
      <c r="R278" s="2">
        <f>0.441408681101897*(8350/2783.333)</f>
        <v>1.3242262018956548</v>
      </c>
      <c r="S278" s="2">
        <f>0.0489979628497295*(8350/2783.333)</f>
        <v>0.14699390615324909</v>
      </c>
      <c r="T278" s="2">
        <f t="shared" si="69"/>
        <v>0.10069243236843764</v>
      </c>
      <c r="U278" s="2">
        <f t="shared" si="70"/>
        <v>0.11437794326585224</v>
      </c>
      <c r="V278" s="2">
        <f t="shared" si="71"/>
        <v>0.11043877033537902</v>
      </c>
      <c r="W278" s="2">
        <f t="shared" si="72"/>
        <v>0.10705744606724045</v>
      </c>
      <c r="X278" s="2">
        <f t="shared" si="73"/>
        <v>0.11728533803050227</v>
      </c>
      <c r="Y278" s="2">
        <f t="shared" si="74"/>
        <v>0.10928020503416074</v>
      </c>
      <c r="Z278" s="2">
        <f t="shared" si="75"/>
        <v>0.10579568013572224</v>
      </c>
      <c r="AA278" s="2">
        <f t="shared" si="76"/>
        <v>0.11798772791544039</v>
      </c>
      <c r="AB278" s="2">
        <f t="shared" si="77"/>
        <v>0.10026757173055721</v>
      </c>
      <c r="AC278" s="2">
        <f t="shared" si="78"/>
        <v>0.1151901624778385</v>
      </c>
      <c r="AD278" s="2">
        <f t="shared" si="79"/>
        <v>0.10227444344259566</v>
      </c>
      <c r="AE278" s="2">
        <f t="shared" si="80"/>
        <v>0.10987695088187602</v>
      </c>
      <c r="AF278" s="2">
        <f t="shared" si="81"/>
        <v>0.11908712371493149</v>
      </c>
      <c r="AG278" s="2">
        <f t="shared" si="82"/>
        <v>9.9235315312320327E-2</v>
      </c>
      <c r="AH278" s="2">
        <f t="shared" si="83"/>
        <v>0.1199891551819615</v>
      </c>
      <c r="AI278" s="2">
        <f t="shared" si="84"/>
        <v>0.10099811712417744</v>
      </c>
      <c r="AJ278" s="2">
        <f>0*(8350/2783.333)</f>
        <v>0</v>
      </c>
      <c r="AK278" s="2">
        <f>0.00209842912862244*(8350/2783.333)</f>
        <v>6.2952881397940396E-3</v>
      </c>
      <c r="AL278" s="2">
        <f>0.0517376725357755*(8350/2783.333)</f>
        <v>0.15521303619571414</v>
      </c>
      <c r="AM278" s="2">
        <f>0.139467531420472*(8350/2783.333)</f>
        <v>0.41840264436951619</v>
      </c>
      <c r="AN278" s="2">
        <f>0.223289035862984*(8350/2783.333)</f>
        <v>0.66986718781256727</v>
      </c>
      <c r="AO278" s="2">
        <f>0.144165604056393*(8350/2783.333)</f>
        <v>0.4324968639652097</v>
      </c>
      <c r="AP278" s="2">
        <f>0.108447166641172*(8350/2783.333)</f>
        <v>0.32534153888657424</v>
      </c>
      <c r="AQ278" s="2">
        <f>0.50259369318534*(8350/2783.333)</f>
        <v>1.5077812601286249</v>
      </c>
      <c r="AR278" s="2">
        <f>0.311162850310754*(8350/2783.333)</f>
        <v>0.93348866272731046</v>
      </c>
      <c r="AS278" s="2">
        <f>0.179273378888712*(8350/2783.333)</f>
        <v>0.53782020107574213</v>
      </c>
      <c r="AT278" s="2">
        <f>0.118863953182711*(8350/2783.333)</f>
        <v>0.35659190225375037</v>
      </c>
      <c r="AU278" s="2">
        <f>0.0852537273212483*(8350/2783.333)</f>
        <v>0.25576121259383039</v>
      </c>
      <c r="AV278" s="2">
        <f>0.0745047493530679*(8350/2783.333)</f>
        <v>0.22351427482738029</v>
      </c>
      <c r="AW278" s="2">
        <f>0.0783385210927905*(8350/2783.333)</f>
        <v>0.2350155914239514</v>
      </c>
    </row>
    <row r="279" spans="1:49" x14ac:dyDescent="0.25">
      <c r="A279" s="5">
        <v>45901</v>
      </c>
      <c r="B279" s="2">
        <f>0.229744274520134*(8350/2783.333)</f>
        <v>0.68923290610326593</v>
      </c>
      <c r="C279" s="2">
        <f>0.244613850885389*(8350/2783.333)</f>
        <v>0.73384164054139345</v>
      </c>
      <c r="D279" s="2">
        <f>0.177610488417849*(8350/2783.333)</f>
        <v>0.5328315290657053</v>
      </c>
      <c r="E279" s="2">
        <f>0.239519142096418*(8350/2783.333)</f>
        <v>0.71855751234404464</v>
      </c>
      <c r="F279" s="2">
        <f>0.21520769767428*(8350/2783.333)</f>
        <v>0.645623170342979</v>
      </c>
      <c r="G279" s="2">
        <f>0.469063015376541*(8350/2783.333)</f>
        <v>1.4071892146552787</v>
      </c>
      <c r="H279" s="2">
        <f>0.387728176972343*(8350/2783.333)</f>
        <v>1.1631846702205824</v>
      </c>
      <c r="I279" s="2">
        <f>0.272602479192733*(8350/2783.333)</f>
        <v>0.81780753551922059</v>
      </c>
      <c r="J279" s="2">
        <f>0.222218929272892*(8350/2783.333)</f>
        <v>0.66665686765782151</v>
      </c>
      <c r="K279" s="2">
        <f>0.288079028638341*(8350/2783.333)</f>
        <v>0.86423718941648331</v>
      </c>
      <c r="L279" s="2">
        <f>0.23007776310242*(8350/2783.333)</f>
        <v>0.6902333719699395</v>
      </c>
      <c r="M279" s="2">
        <f>0.241863406492203*(8350/2783.333)</f>
        <v>0.72559030637365129</v>
      </c>
      <c r="N279" s="2">
        <f>0.247823624132479*(8350/2783.333)</f>
        <v>0.74347096143587543</v>
      </c>
      <c r="O279" s="2">
        <f>0.149858489289513*(8350/2783.333)</f>
        <v>0.44957552170991794</v>
      </c>
      <c r="P279" s="2">
        <f>0.220275724362297*(8350/2783.333)</f>
        <v>0.66082725222788019</v>
      </c>
      <c r="Q279" s="2">
        <f>0.11791506052795*(8350/2783.333)</f>
        <v>0.35374522394854629</v>
      </c>
      <c r="R279" s="2">
        <f>0.00818801937963047*(8350/2783.333)</f>
        <v>2.4564061080695119E-2</v>
      </c>
      <c r="S279" s="2">
        <f>0.0101693885159816*(8350/2783.333)</f>
        <v>3.0508169201617731E-2</v>
      </c>
      <c r="T279" s="2">
        <f t="shared" si="69"/>
        <v>0.10069243236843764</v>
      </c>
      <c r="U279" s="2">
        <f t="shared" si="70"/>
        <v>0.11437794326585224</v>
      </c>
      <c r="V279" s="2">
        <f t="shared" si="71"/>
        <v>0.11043877033537902</v>
      </c>
      <c r="W279" s="2">
        <f t="shared" si="72"/>
        <v>0.10705744606724045</v>
      </c>
      <c r="X279" s="2">
        <f t="shared" si="73"/>
        <v>0.11728533803050227</v>
      </c>
      <c r="Y279" s="2">
        <f t="shared" si="74"/>
        <v>0.10928020503416074</v>
      </c>
      <c r="Z279" s="2">
        <f t="shared" si="75"/>
        <v>0.10579568013572224</v>
      </c>
      <c r="AA279" s="2">
        <f t="shared" si="76"/>
        <v>0.11798772791544039</v>
      </c>
      <c r="AB279" s="2">
        <f t="shared" si="77"/>
        <v>0.10026757173055721</v>
      </c>
      <c r="AC279" s="2">
        <f t="shared" si="78"/>
        <v>0.1151901624778385</v>
      </c>
      <c r="AD279" s="2">
        <f t="shared" si="79"/>
        <v>0.10227444344259566</v>
      </c>
      <c r="AE279" s="2">
        <f t="shared" si="80"/>
        <v>0.10987695088187602</v>
      </c>
      <c r="AF279" s="2">
        <f t="shared" si="81"/>
        <v>0.11908712371493149</v>
      </c>
      <c r="AG279" s="2">
        <f t="shared" si="82"/>
        <v>9.9235315312320327E-2</v>
      </c>
      <c r="AH279" s="2">
        <f t="shared" si="83"/>
        <v>0.1199891551819615</v>
      </c>
      <c r="AI279" s="2">
        <f t="shared" si="84"/>
        <v>0.10099811712417744</v>
      </c>
      <c r="AJ279" s="2">
        <f>0.00197082037302252*(8350/2783.333)</f>
        <v>5.9124618271468206E-3</v>
      </c>
      <c r="AK279" s="2">
        <f>0.0974270666860418*(8350/2783.333)</f>
        <v>0.29228123506186626</v>
      </c>
      <c r="AL279" s="2">
        <f>0.140841441902945*(8350/2783.333)</f>
        <v>0.42252437631055523</v>
      </c>
      <c r="AM279" s="2">
        <f>0.13847605607862*(8350/2783.333)</f>
        <v>0.41542821798774243</v>
      </c>
      <c r="AN279" s="2">
        <f>0.138507524332254*(8350/2783.333)</f>
        <v>0.41552262275995094</v>
      </c>
      <c r="AO279" s="2">
        <f>0.121182681670591*(8350/2783.333)</f>
        <v>0.36354808855046655</v>
      </c>
      <c r="AP279" s="2">
        <f>0.0946205693581961*(8350/2783.333)</f>
        <v>0.28386174207000653</v>
      </c>
      <c r="AQ279" s="2">
        <f>0.114171941087603*(8350/2783.333)</f>
        <v>0.34251586428267389</v>
      </c>
      <c r="AR279" s="2">
        <f>0.216752284704656*(8350/2783.333)</f>
        <v>0.65025693198905055</v>
      </c>
      <c r="AS279" s="2">
        <f>0.266257143892115*(8350/2783.333)</f>
        <v>0.79877152733760448</v>
      </c>
      <c r="AT279" s="2">
        <f>0.286585089880523*(8350/2783.333)</f>
        <v>0.85975537260628343</v>
      </c>
      <c r="AU279" s="2">
        <f>0.184108243826042*(8350/2783.333)</f>
        <v>0.55232479762480835</v>
      </c>
      <c r="AV279" s="2">
        <f>0.120198930349232*(8350/2783.333)</f>
        <v>0.3605968342329462</v>
      </c>
      <c r="AW279" s="2">
        <f>0.105228529325038*(8350/2783.333)</f>
        <v>0.31568562578177606</v>
      </c>
    </row>
    <row r="280" spans="1:49" x14ac:dyDescent="0.25">
      <c r="A280" s="5">
        <v>45902</v>
      </c>
      <c r="B280" s="2">
        <f>0.270836746385524*(8350/2783.333)</f>
        <v>0.81251033646319937</v>
      </c>
      <c r="C280" s="2">
        <f>0.265759252533635*(8350/2783.333)</f>
        <v>0.7972778530832817</v>
      </c>
      <c r="D280" s="2">
        <f>0.207342640664009*(8350/2783.333)</f>
        <v>0.62202799648639662</v>
      </c>
      <c r="E280" s="2">
        <f>0.258977176850866*(8350/2783.333)</f>
        <v>0.77693162359829993</v>
      </c>
      <c r="F280" s="2">
        <f>0.207786742582063*(8350/2783.333)</f>
        <v>0.62336030240011708</v>
      </c>
      <c r="G280" s="2">
        <f>0.259642962046813*(8350/2783.333)</f>
        <v>0.77892897942534645</v>
      </c>
      <c r="H280" s="2">
        <f>0.239703872955808*(8350/2783.333)</f>
        <v>0.71911170498858656</v>
      </c>
      <c r="I280" s="2">
        <f>0.22180988050554*(8350/2783.333)</f>
        <v>0.66542972120880128</v>
      </c>
      <c r="J280" s="2">
        <f>0.213504461458269*(8350/2783.333)</f>
        <v>0.640513461083005</v>
      </c>
      <c r="K280" s="2">
        <f>0.273936967232459*(8350/2783.333)</f>
        <v>0.82181100011785613</v>
      </c>
      <c r="L280" s="2">
        <f>0.23007776310242*(8350/2783.333)</f>
        <v>0.6902333719699395</v>
      </c>
      <c r="M280" s="2">
        <f>0.235695669350325*(8350/2783.333)</f>
        <v>0.70708709273206483</v>
      </c>
      <c r="N280" s="2">
        <f>0.213545952750085*(8350/2783.333)</f>
        <v>0.64063793497336119</v>
      </c>
      <c r="O280" s="2">
        <f>0.341782519432222*(8350/2783.333)</f>
        <v>1.0253476810927951</v>
      </c>
      <c r="P280" s="2">
        <f>0.258209704291616*(8350/2783.333)</f>
        <v>0.77462920564481386</v>
      </c>
      <c r="Q280" s="2">
        <f>0.230170198150558*(8350/2783.333)</f>
        <v>0.6905106771475622</v>
      </c>
      <c r="R280" s="2">
        <f>0.532965625074128*(8350/2783.333)</f>
        <v>1.5988970667070641</v>
      </c>
      <c r="S280" s="2">
        <f>0.0904459251345636*(8350/2783.333)</f>
        <v>0.27133780789923651</v>
      </c>
      <c r="T280" s="2">
        <f t="shared" si="69"/>
        <v>0.10069243236843764</v>
      </c>
      <c r="U280" s="2">
        <f t="shared" si="70"/>
        <v>0.11437794326585224</v>
      </c>
      <c r="V280" s="2">
        <f t="shared" si="71"/>
        <v>0.11043877033537902</v>
      </c>
      <c r="W280" s="2">
        <f t="shared" si="72"/>
        <v>0.10705744606724045</v>
      </c>
      <c r="X280" s="2">
        <f t="shared" si="73"/>
        <v>0.11728533803050227</v>
      </c>
      <c r="Y280" s="2">
        <f t="shared" si="74"/>
        <v>0.10928020503416074</v>
      </c>
      <c r="Z280" s="2">
        <f t="shared" si="75"/>
        <v>0.10579568013572224</v>
      </c>
      <c r="AA280" s="2">
        <f t="shared" si="76"/>
        <v>0.11798772791544039</v>
      </c>
      <c r="AB280" s="2">
        <f t="shared" si="77"/>
        <v>0.10026757173055721</v>
      </c>
      <c r="AC280" s="2">
        <f t="shared" si="78"/>
        <v>0.1151901624778385</v>
      </c>
      <c r="AD280" s="2">
        <f t="shared" si="79"/>
        <v>0.10227444344259566</v>
      </c>
      <c r="AE280" s="2">
        <f t="shared" si="80"/>
        <v>0.10987695088187602</v>
      </c>
      <c r="AF280" s="2">
        <f t="shared" si="81"/>
        <v>0.11908712371493149</v>
      </c>
      <c r="AG280" s="2">
        <f t="shared" si="82"/>
        <v>9.9235315312320327E-2</v>
      </c>
      <c r="AH280" s="2">
        <f t="shared" si="83"/>
        <v>0.1199891551819615</v>
      </c>
      <c r="AI280" s="2">
        <f t="shared" si="84"/>
        <v>0.10099811712417744</v>
      </c>
      <c r="AJ280" s="2">
        <f>0.0800456274581454*(8350/2783.333)</f>
        <v>0.24013691113334784</v>
      </c>
      <c r="AK280" s="2">
        <f>0.00869349210429297*(8350/2783.333)</f>
        <v>2.6080479436289609E-2</v>
      </c>
      <c r="AL280" s="2">
        <f>0.00402404119722698*(8350/2783.333)</f>
        <v>1.2072125037444431E-2</v>
      </c>
      <c r="AM280" s="2">
        <f>0.0651068807815946*(8350/2783.333)</f>
        <v>0.19532066573648033</v>
      </c>
      <c r="AN280" s="2">
        <f>0.11366312534889*(8350/2783.333)</f>
        <v>0.34098941688372653</v>
      </c>
      <c r="AO280" s="2">
        <f>0.0817833861520738*(8350/2783.333)</f>
        <v>0.24535018783947735</v>
      </c>
      <c r="AP280" s="2">
        <f>0.0952869113959299*(8350/2783.333)</f>
        <v>0.28586076842261221</v>
      </c>
      <c r="AQ280" s="2">
        <f>0.119592567370694*(8350/2783.333)</f>
        <v>0.35877774507947718</v>
      </c>
      <c r="AR280" s="2">
        <f>0.116788156415847*(8350/2783.333)</f>
        <v>0.35036451120736328</v>
      </c>
      <c r="AS280" s="2">
        <f>0.172842046910642*(8350/2783.333)</f>
        <v>0.5185262028308727</v>
      </c>
      <c r="AT280" s="2">
        <f>0.213463264888124*(8350/2783.333)</f>
        <v>0.64038987135776948</v>
      </c>
      <c r="AU280" s="2">
        <f>0.193064861093255*(8350/2783.333)</f>
        <v>0.57919465264439407</v>
      </c>
      <c r="AV280" s="2">
        <f>0.10579364617078*(8350/2783.333)</f>
        <v>0.31738097652203895</v>
      </c>
      <c r="AW280" s="2">
        <f>0.0805145911231458*(8350/2783.333)</f>
        <v>0.24154380229683894</v>
      </c>
    </row>
    <row r="281" spans="1:49" x14ac:dyDescent="0.25">
      <c r="A281" s="5">
        <v>45903</v>
      </c>
      <c r="B281" s="2">
        <f>0.237682592948675*(8350/2783.333)</f>
        <v>0.71304786424097999</v>
      </c>
      <c r="C281" s="2">
        <f>0.245094428195576*(8350/2783.333)</f>
        <v>0.73528337264461807</v>
      </c>
      <c r="D281" s="2">
        <f>0.203821727898016*(8350/2783.333)</f>
        <v>0.6114652569234198</v>
      </c>
      <c r="E281" s="2">
        <f>0.233959703595147*(8350/2783.333)</f>
        <v>0.70187919484282923</v>
      </c>
      <c r="F281" s="2">
        <f>0.200756364073647*(8350/2783.333)</f>
        <v>0.60226916434898581</v>
      </c>
      <c r="G281" s="2">
        <f>0.234057706662638*(8350/2783.333)</f>
        <v>0.70217320408051298</v>
      </c>
      <c r="H281" s="2">
        <f>0.24256885948516*(8350/2783.333)</f>
        <v>0.72770666560597941</v>
      </c>
      <c r="I281" s="2">
        <f>0.232527584815681*(8350/2783.333)</f>
        <v>0.69758283798989906</v>
      </c>
      <c r="J281" s="2">
        <f>0.194094964962062*(8350/2783.333)</f>
        <v>0.5822849646209135</v>
      </c>
      <c r="K281" s="2">
        <f>0.258747345722437*(8350/2783.333)</f>
        <v>0.77624213013044085</v>
      </c>
      <c r="L281" s="2">
        <f>0.220508525215701*(8350/2783.333)</f>
        <v>0.66152565487173265</v>
      </c>
      <c r="M281" s="2">
        <f>0.226003510984518*(8350/2783.333)</f>
        <v>0.67801061415242847</v>
      </c>
      <c r="N281" s="2">
        <f>0.200150081175356*(8350/2783.333)</f>
        <v>0.60045031543628691</v>
      </c>
      <c r="O281" s="2">
        <f>0.265538726635803*(8350/2783.333)</f>
        <v>0.79661627531055634</v>
      </c>
      <c r="P281" s="2">
        <f>0.262951451782781*(8350/2783.333)</f>
        <v>0.78885444982193065</v>
      </c>
      <c r="Q281" s="2">
        <f>0.671644184767201*(8350/2783.333)</f>
        <v>2.0149327956109202</v>
      </c>
      <c r="R281" s="2">
        <f>0.226659263736134*(8350/2783.333)</f>
        <v>0.67997787264287834</v>
      </c>
      <c r="S281" s="2">
        <f>0.128195927959041*(8350/2783.333)</f>
        <v>0.38458782993554458</v>
      </c>
      <c r="T281" s="2">
        <f t="shared" si="69"/>
        <v>0.10069243236843764</v>
      </c>
      <c r="U281" s="2">
        <f t="shared" si="70"/>
        <v>0.11437794326585224</v>
      </c>
      <c r="V281" s="2">
        <f t="shared" si="71"/>
        <v>0.11043877033537902</v>
      </c>
      <c r="W281" s="2">
        <f t="shared" si="72"/>
        <v>0.10705744606724045</v>
      </c>
      <c r="X281" s="2">
        <f t="shared" si="73"/>
        <v>0.11728533803050227</v>
      </c>
      <c r="Y281" s="2">
        <f t="shared" si="74"/>
        <v>0.10928020503416074</v>
      </c>
      <c r="Z281" s="2">
        <f t="shared" si="75"/>
        <v>0.10579568013572224</v>
      </c>
      <c r="AA281" s="2">
        <f t="shared" si="76"/>
        <v>0.11798772791544039</v>
      </c>
      <c r="AB281" s="2">
        <f t="shared" si="77"/>
        <v>0.10026757173055721</v>
      </c>
      <c r="AC281" s="2">
        <f t="shared" si="78"/>
        <v>0.1151901624778385</v>
      </c>
      <c r="AD281" s="2">
        <f t="shared" si="79"/>
        <v>0.10227444344259566</v>
      </c>
      <c r="AE281" s="2">
        <f t="shared" si="80"/>
        <v>0.10987695088187602</v>
      </c>
      <c r="AF281" s="2">
        <f t="shared" si="81"/>
        <v>0.11908712371493149</v>
      </c>
      <c r="AG281" s="2">
        <f t="shared" si="82"/>
        <v>9.9235315312320327E-2</v>
      </c>
      <c r="AH281" s="2">
        <f t="shared" si="83"/>
        <v>0.1199891551819615</v>
      </c>
      <c r="AI281" s="2">
        <f t="shared" si="84"/>
        <v>0.10099811712417744</v>
      </c>
      <c r="AJ281" s="2">
        <f>0.00712527365631219*(8350/2783.333)</f>
        <v>2.1375823528915434E-2</v>
      </c>
      <c r="AK281" s="2">
        <f>0.0446665628806776*(8350/2783.333)</f>
        <v>0.13399970468990172</v>
      </c>
      <c r="AL281" s="2">
        <f>0.194878566551421*(8350/2783.333)</f>
        <v>0.58463576967052344</v>
      </c>
      <c r="AM281" s="2">
        <f>0.062793438317274*(8350/2783.333)</f>
        <v>0.18838033751234143</v>
      </c>
      <c r="AN281" s="2">
        <f>0.295648347902032*(8350/2783.333)</f>
        <v>0.88694514992707085</v>
      </c>
      <c r="AO281" s="2">
        <f>0.0782016320140267*(8350/2783.333)</f>
        <v>0.23460492413847833</v>
      </c>
      <c r="AP281" s="2">
        <f>0.10594838399967*(8350/2783.333)</f>
        <v>0.31784519006430312</v>
      </c>
      <c r="AQ281" s="2">
        <f>0.127045928509944*(8350/2783.333)</f>
        <v>0.38113783117508215</v>
      </c>
      <c r="AR281" s="2">
        <f>0.136225625805338*(8350/2783.333)</f>
        <v>0.40867692635935815</v>
      </c>
      <c r="AS281" s="2">
        <f>0.164320532039699*(8350/2783.333)</f>
        <v>0.49296165515642032</v>
      </c>
      <c r="AT281" s="2">
        <f>0.235268652161642*(8350/2783.333)</f>
        <v>0.70580604101259525</v>
      </c>
      <c r="AU281" s="2">
        <f>0.186927919632387*(8350/2783.333)</f>
        <v>0.56078382605690036</v>
      </c>
      <c r="AV281" s="2">
        <f>0.117410810830822*(8350/2783.333)</f>
        <v>0.35223247467599617</v>
      </c>
      <c r="AW281" s="2">
        <f>0.12217078884709*(8350/2783.333)</f>
        <v>0.36651241043497185</v>
      </c>
    </row>
    <row r="282" spans="1:49" x14ac:dyDescent="0.25">
      <c r="A282" s="5">
        <v>45904</v>
      </c>
      <c r="B282" s="2">
        <f>0.32920673483068*(8350/2783.333)</f>
        <v>0.98762032276992351</v>
      </c>
      <c r="C282" s="2">
        <f>0.372447415395239*(8350/2783.333)</f>
        <v>1.1173423799991746</v>
      </c>
      <c r="D282" s="2">
        <f>0.2851939340454*(8350/2783.333)</f>
        <v>0.85558190460109962</v>
      </c>
      <c r="E282" s="2">
        <f>0.293723667483808*(8350/2783.333)</f>
        <v>0.88117110798089837</v>
      </c>
      <c r="F282" s="2">
        <f>0.22887787810731*(8350/2783.333)</f>
        <v>0.68663371655351246</v>
      </c>
      <c r="G282" s="2">
        <f>0.264854773328774*(8350/2783.333)</f>
        <v>0.7945644151437381</v>
      </c>
      <c r="H282" s="2">
        <f>0.275993702327604*(8350/2783.333)</f>
        <v>0.82798120614223669</v>
      </c>
      <c r="I282" s="2">
        <f>0.271204517760975*(8350/2783.333)</f>
        <v>0.81361365072168512</v>
      </c>
      <c r="J282" s="2">
        <f>0.221426704926108*(8350/2783.333)</f>
        <v>0.66428019433283791</v>
      </c>
      <c r="K282" s="2">
        <f>0.296983289523526*(8350/2783.333)</f>
        <v>0.89094997527117381</v>
      </c>
      <c r="L282" s="2">
        <f>0.231741978387067*(8350/2783.333)</f>
        <v>0.69522601842180232</v>
      </c>
      <c r="M282" s="2">
        <f>0.246268933022116*(8350/2783.333)</f>
        <v>0.7388068875462136</v>
      </c>
      <c r="N282" s="2">
        <f>0.252157582583126*(8350/2783.333)</f>
        <v>0.75647283834492896</v>
      </c>
      <c r="O282" s="2">
        <f>0.274552771104345*(8350/2783.333)</f>
        <v>0.82365841195476186</v>
      </c>
      <c r="P282" s="2">
        <f>0.500900962248511*(8350/2783.333)</f>
        <v>1.5027030667099734</v>
      </c>
      <c r="Q282" s="2">
        <f>0.245734986140247*(8350/2783.333)</f>
        <v>0.73720504670877085</v>
      </c>
      <c r="R282" s="2">
        <f>0.324171130893551*(8350/2783.333)</f>
        <v>0.97251350914933787</v>
      </c>
      <c r="S282" s="2">
        <f>0.0281969408852217*(8350/2783.333)</f>
        <v>8.4590832786303735E-2</v>
      </c>
      <c r="T282" s="2">
        <f t="shared" si="69"/>
        <v>0.10069243236843764</v>
      </c>
      <c r="U282" s="2">
        <f t="shared" si="70"/>
        <v>0.11437794326585224</v>
      </c>
      <c r="V282" s="2">
        <f t="shared" si="71"/>
        <v>0.11043877033537902</v>
      </c>
      <c r="W282" s="2">
        <f t="shared" si="72"/>
        <v>0.10705744606724045</v>
      </c>
      <c r="X282" s="2">
        <f t="shared" si="73"/>
        <v>0.11728533803050227</v>
      </c>
      <c r="Y282" s="2">
        <f t="shared" si="74"/>
        <v>0.10928020503416074</v>
      </c>
      <c r="Z282" s="2">
        <f t="shared" si="75"/>
        <v>0.10579568013572224</v>
      </c>
      <c r="AA282" s="2">
        <f t="shared" si="76"/>
        <v>0.11798772791544039</v>
      </c>
      <c r="AB282" s="2">
        <f t="shared" si="77"/>
        <v>0.10026757173055721</v>
      </c>
      <c r="AC282" s="2">
        <f t="shared" si="78"/>
        <v>0.1151901624778385</v>
      </c>
      <c r="AD282" s="2">
        <f t="shared" si="79"/>
        <v>0.10227444344259566</v>
      </c>
      <c r="AE282" s="2">
        <f t="shared" si="80"/>
        <v>0.10987695088187602</v>
      </c>
      <c r="AF282" s="2">
        <f t="shared" si="81"/>
        <v>0.11908712371493149</v>
      </c>
      <c r="AG282" s="2">
        <f t="shared" si="82"/>
        <v>9.9235315312320327E-2</v>
      </c>
      <c r="AH282" s="2">
        <f t="shared" si="83"/>
        <v>0.1199891551819615</v>
      </c>
      <c r="AI282" s="2">
        <f t="shared" si="84"/>
        <v>0.10099811712417744</v>
      </c>
      <c r="AJ282" s="2">
        <f>0.055031368877475*(8350/2783.333)</f>
        <v>0.16509412640417664</v>
      </c>
      <c r="AK282" s="2">
        <f>0.115713377664037*(8350/2783.333)</f>
        <v>0.34714017456578578</v>
      </c>
      <c r="AL282" s="2">
        <f>0.00488633573948991*(8350/2783.333)</f>
        <v>1.465900897403967E-2</v>
      </c>
      <c r="AM282" s="2">
        <f>0.0862583547410974*(8350/2783.333)</f>
        <v>0.25877509521432163</v>
      </c>
      <c r="AN282" s="2">
        <f>0.150308613849352*(8350/2783.333)</f>
        <v>0.45092589555115753</v>
      </c>
      <c r="AO282" s="2">
        <f>0.099393677330805*(8350/2783.333)</f>
        <v>0.29818106770272251</v>
      </c>
      <c r="AP282" s="2">
        <f>0.143263538112762*(8350/2783.333)</f>
        <v>0.42979066581022118</v>
      </c>
      <c r="AQ282" s="2">
        <f>0.146695698786149*(8350/2783.333)</f>
        <v>0.4400871490634945</v>
      </c>
      <c r="AR282" s="2">
        <f>0.12985536272811*(8350/2783.333)</f>
        <v>0.3895661348389563</v>
      </c>
      <c r="AS282" s="2">
        <f>0.132807005347154*(8350/2783.333)</f>
        <v>0.39842106375655889</v>
      </c>
      <c r="AT282" s="2">
        <f>0.137390334851189*(8350/2783.333)</f>
        <v>0.41217105391536923</v>
      </c>
      <c r="AU282" s="2">
        <f>0.103830414986579*(8350/2783.333)</f>
        <v>0.31149128226408129</v>
      </c>
      <c r="AV282" s="2">
        <f>0.0980488697307526*(8350/2783.333)</f>
        <v>0.29414664441940075</v>
      </c>
      <c r="AW282" s="2">
        <f>0.0839341297422756*(8350/2783.333)</f>
        <v>0.25180241938280512</v>
      </c>
    </row>
    <row r="283" spans="1:49" x14ac:dyDescent="0.25">
      <c r="A283" s="5">
        <v>45905</v>
      </c>
      <c r="B283" s="2">
        <f>0.255427069436003*(8350/2783.333)</f>
        <v>0.76628130007822481</v>
      </c>
      <c r="C283" s="2">
        <f>0.266239829843822*(8350/2783.333)</f>
        <v>0.79871958518650676</v>
      </c>
      <c r="D283" s="2">
        <f>0.222208716787088*(8350/2783.333)</f>
        <v>0.66662623019674183</v>
      </c>
      <c r="E283" s="2">
        <f>0.227473692010331*(8350/2783.333)</f>
        <v>0.68242115775807743</v>
      </c>
      <c r="F283" s="2">
        <f>0.212864238171474*(8350/2783.333)</f>
        <v>0.63859279099260147</v>
      </c>
      <c r="G283" s="2">
        <f>0.268645181533837*(8350/2783.333)</f>
        <v>0.80593564112075056</v>
      </c>
      <c r="H283" s="2">
        <f>0.265966249474871*(8350/2783.333)</f>
        <v>0.79789884398135946</v>
      </c>
      <c r="I283" s="2">
        <f>0.244177263413661*(8350/2783.333)</f>
        <v>0.73253187796935282</v>
      </c>
      <c r="J283" s="2">
        <f>0.218257807538972*(8350/2783.333)</f>
        <v>0.65477350103290444</v>
      </c>
      <c r="K283" s="2">
        <f>0.298030849627666*(8350/2783.333)</f>
        <v>0.89409265595996146</v>
      </c>
      <c r="L283" s="2">
        <f>0.213019556434791*(8350/2783.333)</f>
        <v>0.63905874583835331</v>
      </c>
      <c r="M283" s="2">
        <f>0.650696268468094*(8350/2783.333)</f>
        <v>1.9520890391874008</v>
      </c>
      <c r="N283" s="2">
        <f>0.589418349288058*(8350/2783.333)</f>
        <v>1.7682552596312704</v>
      </c>
      <c r="O283" s="2">
        <f>0.32751028235703*(8350/2783.333)</f>
        <v>0.98253096473946988</v>
      </c>
      <c r="P283" s="2">
        <f>0.378908731339451*(8350/2783.333)</f>
        <v>1.1367263301532415</v>
      </c>
      <c r="Q283" s="2">
        <f>0.169797687160247*(8350/2783.333)</f>
        <v>0.50939312248590651</v>
      </c>
      <c r="R283" s="2">
        <f>0.193535003518538*(8350/2783.333)</f>
        <v>0.58060508008915745</v>
      </c>
      <c r="S283" s="2">
        <f>0.0138673479763385*(8350/2783.333)</f>
        <v>4.1602048911296895E-2</v>
      </c>
      <c r="T283" s="2">
        <f t="shared" si="69"/>
        <v>0.10069243236843764</v>
      </c>
      <c r="U283" s="2">
        <f t="shared" si="70"/>
        <v>0.11437794326585224</v>
      </c>
      <c r="V283" s="2">
        <f t="shared" si="71"/>
        <v>0.11043877033537902</v>
      </c>
      <c r="W283" s="2">
        <f t="shared" si="72"/>
        <v>0.10705744606724045</v>
      </c>
      <c r="X283" s="2">
        <f t="shared" si="73"/>
        <v>0.11728533803050227</v>
      </c>
      <c r="Y283" s="2">
        <f t="shared" si="74"/>
        <v>0.10928020503416074</v>
      </c>
      <c r="Z283" s="2">
        <f t="shared" si="75"/>
        <v>0.10579568013572224</v>
      </c>
      <c r="AA283" s="2">
        <f t="shared" si="76"/>
        <v>0.11798772791544039</v>
      </c>
      <c r="AB283" s="2">
        <f t="shared" si="77"/>
        <v>0.10026757173055721</v>
      </c>
      <c r="AC283" s="2">
        <f t="shared" si="78"/>
        <v>0.1151901624778385</v>
      </c>
      <c r="AD283" s="2">
        <f t="shared" si="79"/>
        <v>0.10227444344259566</v>
      </c>
      <c r="AE283" s="2">
        <f t="shared" si="80"/>
        <v>0.10987695088187602</v>
      </c>
      <c r="AF283" s="2">
        <f t="shared" si="81"/>
        <v>0.11908712371493149</v>
      </c>
      <c r="AG283" s="2">
        <f t="shared" si="82"/>
        <v>9.9235315312320327E-2</v>
      </c>
      <c r="AH283" s="2">
        <f t="shared" si="83"/>
        <v>0.1199891551819615</v>
      </c>
      <c r="AI283" s="2">
        <f t="shared" si="84"/>
        <v>0.10099811712417744</v>
      </c>
      <c r="AJ283" s="2">
        <f>0.0438128529079622*(8350/2783.333)</f>
        <v>0.13143857446503318</v>
      </c>
      <c r="AK283" s="2">
        <f>0.199650542808935*(8350/2783.333)</f>
        <v>0.59895170015754751</v>
      </c>
      <c r="AL283" s="2">
        <f>0.0146590072184697*(8350/2783.333)</f>
        <v>4.3977026922118967E-2</v>
      </c>
      <c r="AM283" s="2">
        <f>0.112367205409859*(8350/2783.333)</f>
        <v>0.33710165660103197</v>
      </c>
      <c r="AN283" s="2">
        <f>0.191301872171903*(8350/2783.333)</f>
        <v>0.57390568524692842</v>
      </c>
      <c r="AO283" s="2">
        <f>0.184460338109422*(8350/2783.333)</f>
        <v>0.55338108060144875</v>
      </c>
      <c r="AP283" s="2">
        <f>0.198569927244665*(8350/2783.333)</f>
        <v>0.59570985307649238</v>
      </c>
      <c r="AQ283" s="2">
        <f>0.209541084755735*(8350/2783.333)</f>
        <v>0.62862332955143552</v>
      </c>
      <c r="AR283" s="2">
        <f>0.243540057644795*(8350/2783.333)</f>
        <v>0.73062026043381645</v>
      </c>
      <c r="AS283" s="2">
        <f>0.31336665063148*(8350/2783.333)</f>
        <v>0.94010006448127492</v>
      </c>
      <c r="AT283" s="2">
        <f>0.260025144479696*(8350/2783.333)</f>
        <v>0.78007552686130788</v>
      </c>
      <c r="AU283" s="2">
        <f>0.119255700280112*(8350/2783.333)</f>
        <v>0.35776714368670048</v>
      </c>
      <c r="AV283" s="2">
        <f>0.110905198621199*(8350/2783.333)</f>
        <v>0.33271563570978002</v>
      </c>
      <c r="AW283" s="2">
        <f>0.108958935091361*(8350/2783.333)</f>
        <v>0.32687684442101167</v>
      </c>
    </row>
    <row r="284" spans="1:49" x14ac:dyDescent="0.25">
      <c r="A284" s="5">
        <v>45906</v>
      </c>
      <c r="B284" s="2">
        <f>0.324070175847507*(8350/2783.333)</f>
        <v>0.97221064397493206</v>
      </c>
      <c r="C284" s="2">
        <f>0.283060035700381*(8350/2783.333)</f>
        <v>0.84918020879937217</v>
      </c>
      <c r="D284" s="2">
        <f>0.195997477306921*(8350/2783.333)</f>
        <v>0.58799250233902733</v>
      </c>
      <c r="E284" s="2">
        <f>0.258513890309093*(8350/2783.333)</f>
        <v>0.7755417638065315</v>
      </c>
      <c r="F284" s="2">
        <f>0.213645391339076*(8350/2783.333)</f>
        <v>0.64093625077606065</v>
      </c>
      <c r="G284" s="2">
        <f>0.263433370251876*(8350/2783.333)</f>
        <v>0.7903002054023589</v>
      </c>
      <c r="H284" s="2">
        <f>0.254506303357461*(8350/2783.333)</f>
        <v>0.76351900151178553</v>
      </c>
      <c r="I284" s="2">
        <f>0.257690890587318*(8350/2783.333)</f>
        <v>0.77307276434551953</v>
      </c>
      <c r="J284" s="2">
        <f>0.209939451897741*(8350/2783.333)</f>
        <v>0.62981843112057978</v>
      </c>
      <c r="K284" s="2">
        <f>0.288602808690411*(8350/2783.333)</f>
        <v>0.86580852976087663</v>
      </c>
      <c r="L284" s="2">
        <f>0.233406193671714*(8350/2783.333)</f>
        <v>0.70021866487366413</v>
      </c>
      <c r="M284" s="2">
        <f>0.250233906899037*(8350/2783.333)</f>
        <v>0.75070181060151919</v>
      </c>
      <c r="N284" s="2">
        <f>0.357354574067024*(8350/2783.333)</f>
        <v>1.0720638505919535</v>
      </c>
      <c r="O284" s="2">
        <f>0.390984178823015*(8350/2783.333)</f>
        <v>1.1729526769424179</v>
      </c>
      <c r="P284" s="2">
        <f>0.313817470324369*(8350/2783.333)</f>
        <v>0.94145252372191091</v>
      </c>
      <c r="Q284" s="2">
        <f>0.299504253740992*(8350/2783.333)</f>
        <v>0.89851286882930759</v>
      </c>
      <c r="R284" s="2">
        <f>0.189068811129649*(8350/2783.333)</f>
        <v>0.56720650131786932</v>
      </c>
      <c r="S284" s="2">
        <f>0.0583969431448034*(8350/2783.333)</f>
        <v>0.17519085041535029</v>
      </c>
      <c r="T284" s="2">
        <f t="shared" si="69"/>
        <v>0.10069243236843764</v>
      </c>
      <c r="U284" s="2">
        <f t="shared" si="70"/>
        <v>0.11437794326585224</v>
      </c>
      <c r="V284" s="2">
        <f t="shared" si="71"/>
        <v>0.11043877033537902</v>
      </c>
      <c r="W284" s="2">
        <f t="shared" si="72"/>
        <v>0.10705744606724045</v>
      </c>
      <c r="X284" s="2">
        <f t="shared" si="73"/>
        <v>0.11728533803050227</v>
      </c>
      <c r="Y284" s="2">
        <f t="shared" si="74"/>
        <v>0.10928020503416074</v>
      </c>
      <c r="Z284" s="2">
        <f t="shared" si="75"/>
        <v>0.10579568013572224</v>
      </c>
      <c r="AA284" s="2">
        <f t="shared" si="76"/>
        <v>0.11798772791544039</v>
      </c>
      <c r="AB284" s="2">
        <f t="shared" si="77"/>
        <v>0.10026757173055721</v>
      </c>
      <c r="AC284" s="2">
        <f t="shared" si="78"/>
        <v>0.1151901624778385</v>
      </c>
      <c r="AD284" s="2">
        <f t="shared" si="79"/>
        <v>0.10227444344259566</v>
      </c>
      <c r="AE284" s="2">
        <f t="shared" si="80"/>
        <v>0.10987695088187602</v>
      </c>
      <c r="AF284" s="2">
        <f t="shared" si="81"/>
        <v>0.11908712371493149</v>
      </c>
      <c r="AG284" s="2">
        <f t="shared" si="82"/>
        <v>9.9235315312320327E-2</v>
      </c>
      <c r="AH284" s="2">
        <f t="shared" si="83"/>
        <v>0.1199891551819615</v>
      </c>
      <c r="AI284" s="2">
        <f t="shared" si="84"/>
        <v>0.10099811712417744</v>
      </c>
      <c r="AJ284" s="2">
        <f>0.0131893363425353*(8350/2783.333)</f>
        <v>3.9568013766290273E-2</v>
      </c>
      <c r="AK284" s="2">
        <f>0.0836373895550944*(8350/2783.333)</f>
        <v>0.25091219871464832</v>
      </c>
      <c r="AL284" s="2">
        <f>0.10721195475469*(8350/2783.333)</f>
        <v>0.32163590278334103</v>
      </c>
      <c r="AM284" s="2">
        <f>0.181109495778243*(8350/2783.333)</f>
        <v>0.54332855240401634</v>
      </c>
      <c r="AN284" s="2">
        <f>0.185711882400646*(8350/2783.333)</f>
        <v>0.55713571392477768</v>
      </c>
      <c r="AO284" s="2">
        <f>0.109392740966186*(8350/2783.333)</f>
        <v>0.32817826220134449</v>
      </c>
      <c r="AP284" s="2">
        <f>0.129603526339219*(8350/2783.333)</f>
        <v>0.38881062558180463</v>
      </c>
      <c r="AQ284" s="2">
        <f>0.136023840791314*(8350/2783.333)</f>
        <v>0.40807157124478793</v>
      </c>
      <c r="AR284" s="2">
        <f>0.134102204779595*(8350/2783.333)</f>
        <v>0.4023066625192242</v>
      </c>
      <c r="AS284" s="2">
        <f>0.13248543874825*(8350/2783.333)</f>
        <v>0.3974563638443151</v>
      </c>
      <c r="AT284" s="2">
        <f>0.246417271218779*(8350/2783.333)</f>
        <v>0.73925190218949832</v>
      </c>
      <c r="AU284" s="2">
        <f>0.151101450563535*(8350/2783.333)</f>
        <v>0.45330440597855903</v>
      </c>
      <c r="AV284" s="2">
        <f>0.167596962162203*(8350/2783.333)</f>
        <v>0.50279094670109281</v>
      </c>
      <c r="AW284" s="2">
        <f>0.079581989681565*(8350/2783.333)</f>
        <v>0.23874599763702997</v>
      </c>
    </row>
    <row r="285" spans="1:49" x14ac:dyDescent="0.25">
      <c r="A285" s="5">
        <v>45907</v>
      </c>
      <c r="B285" s="2">
        <f>0.220405076368909*(8350/2783.333)</f>
        <v>0.66121530829418962</v>
      </c>
      <c r="C285" s="2">
        <f>0.242691541644639*(8350/2783.333)</f>
        <v>0.72807471212849451</v>
      </c>
      <c r="D285" s="2">
        <f>0.192476564540929*(8350/2783.333)</f>
        <v>0.57742976277605074</v>
      </c>
      <c r="E285" s="2">
        <f>0.224693972759695*(8350/2783.333)</f>
        <v>0.67408199900746957</v>
      </c>
      <c r="F285" s="2">
        <f>0.18396157097021*(8350/2783.333)</f>
        <v>0.55188477900461486</v>
      </c>
      <c r="G285" s="2">
        <f>0.230741099483208*(8350/2783.333)</f>
        <v>0.69222338135062722</v>
      </c>
      <c r="H285" s="2">
        <f>0.207711523378041*(8350/2783.333)</f>
        <v>0.62313464476102631</v>
      </c>
      <c r="I285" s="2">
        <f>0.236721469110954*(8350/2783.333)</f>
        <v>0.71016449238250245</v>
      </c>
      <c r="J285" s="2">
        <f>0.203601657123469*(8350/2783.333)</f>
        <v>0.61080504452071294</v>
      </c>
      <c r="K285" s="2">
        <f>0.267127826555553*(8350/2783.333)</f>
        <v>0.80138357564073925</v>
      </c>
      <c r="L285" s="2">
        <f>0.266274445543488*(8350/2783.333)</f>
        <v>0.79882343229794162</v>
      </c>
      <c r="M285" s="2">
        <f>0.262569381182792*(8350/2783.333)</f>
        <v>0.78770823788469291</v>
      </c>
      <c r="N285" s="2">
        <f>0.230093794107103*(8350/2783.333)</f>
        <v>0.6902814649897473</v>
      </c>
      <c r="O285" s="2">
        <f>0.604692149764701*(8350/2783.333)</f>
        <v>1.8140766665487926</v>
      </c>
      <c r="P285" s="2">
        <f>0.581079601644573*(8350/2783.333)</f>
        <v>1.7432390137048572</v>
      </c>
      <c r="Q285" s="2">
        <f>0.784370982631921*(8350/2783.333)</f>
        <v>2.3531132297057304</v>
      </c>
      <c r="R285" s="2">
        <f>0.292535601472252*(8350/2783.333)</f>
        <v>0.87760690951937959</v>
      </c>
      <c r="S285" s="2">
        <f>0.0916785782880159*(8350/2783.333)</f>
        <v>0.27503576780246292</v>
      </c>
      <c r="T285" s="2">
        <f t="shared" si="69"/>
        <v>0.10069243236843764</v>
      </c>
      <c r="U285" s="2">
        <f t="shared" si="70"/>
        <v>0.11437794326585224</v>
      </c>
      <c r="V285" s="2">
        <f t="shared" si="71"/>
        <v>0.11043877033537902</v>
      </c>
      <c r="W285" s="2">
        <f t="shared" si="72"/>
        <v>0.10705744606724045</v>
      </c>
      <c r="X285" s="2">
        <f t="shared" si="73"/>
        <v>0.11728533803050227</v>
      </c>
      <c r="Y285" s="2">
        <f t="shared" si="74"/>
        <v>0.10928020503416074</v>
      </c>
      <c r="Z285" s="2">
        <f t="shared" si="75"/>
        <v>0.10579568013572224</v>
      </c>
      <c r="AA285" s="2">
        <f t="shared" si="76"/>
        <v>0.11798772791544039</v>
      </c>
      <c r="AB285" s="2">
        <f t="shared" si="77"/>
        <v>0.10026757173055721</v>
      </c>
      <c r="AC285" s="2">
        <f t="shared" si="78"/>
        <v>0.1151901624778385</v>
      </c>
      <c r="AD285" s="2">
        <f t="shared" si="79"/>
        <v>0.10227444344259566</v>
      </c>
      <c r="AE285" s="2">
        <f t="shared" si="80"/>
        <v>0.10987695088187602</v>
      </c>
      <c r="AF285" s="2">
        <f t="shared" si="81"/>
        <v>0.11908712371493149</v>
      </c>
      <c r="AG285" s="2">
        <f t="shared" si="82"/>
        <v>9.9235315312320327E-2</v>
      </c>
      <c r="AH285" s="2">
        <f t="shared" si="83"/>
        <v>0.1199891551819615</v>
      </c>
      <c r="AI285" s="2">
        <f t="shared" si="84"/>
        <v>0.10099811712417744</v>
      </c>
      <c r="AJ285" s="2">
        <f>0*(8350/2783.333)</f>
        <v>0</v>
      </c>
      <c r="AK285" s="2">
        <f>0.00449663384704808*(8350/2783.333)</f>
        <v>1.3489903156701512E-2</v>
      </c>
      <c r="AL285" s="2">
        <f>0.0149464387325574*(8350/2783.333)</f>
        <v>4.483932156765074E-2</v>
      </c>
      <c r="AM285" s="2">
        <f>0.111706221848624*(8350/2783.333)</f>
        <v>0.3351187056798493</v>
      </c>
      <c r="AN285" s="2">
        <f>0.244406774998843*(8350/2783.333)</f>
        <v>0.73322041280735806</v>
      </c>
      <c r="AO285" s="2">
        <f>0.2360972935996*(8350/2783.333)</f>
        <v>0.70829196562418484</v>
      </c>
      <c r="AP285" s="2">
        <f>0.317845151999011*(8350/2783.333)</f>
        <v>0.95353557019290913</v>
      </c>
      <c r="AQ285" s="2">
        <f>0.500222169186487*(8350/2783.333)</f>
        <v>1.5006666872800234</v>
      </c>
      <c r="AR285" s="2">
        <f>0.135735605568628*(8350/2783.333)</f>
        <v>0.40720686547317325</v>
      </c>
      <c r="AS285" s="2">
        <f>0.132967788646605*(8350/2783.333)</f>
        <v>0.3989034137126804</v>
      </c>
      <c r="AT285" s="2">
        <f>0.120995306825987*(8350/2783.333)</f>
        <v>0.36298596394933452</v>
      </c>
      <c r="AU285" s="2">
        <f>0.112455305688339*(8350/2783.333)</f>
        <v>0.33736595746812653</v>
      </c>
      <c r="AV285" s="2">
        <f>0.0977390786731514*(8350/2783.333)</f>
        <v>0.29321727113529517</v>
      </c>
      <c r="AW285" s="2">
        <f>0.0834678290214851*(8350/2783.333)</f>
        <v>0.25040351705290059</v>
      </c>
    </row>
    <row r="286" spans="1:49" x14ac:dyDescent="0.25">
      <c r="A286" s="5">
        <v>45908</v>
      </c>
      <c r="B286" s="2">
        <f>0.241885232116727*(8350/2783.333)</f>
        <v>0.7256557832550643</v>
      </c>
      <c r="C286" s="2">
        <f>0.265759252533635*(8350/2783.333)</f>
        <v>0.7972778530832817</v>
      </c>
      <c r="D286" s="2">
        <f>0.197171114895585*(8350/2783.333)</f>
        <v>0.59151341552668613</v>
      </c>
      <c r="E286" s="2">
        <f>0.248784872931869*(8350/2783.333)</f>
        <v>0.7463547081794043</v>
      </c>
      <c r="F286" s="2">
        <f>0.201146940657448*(8350/2783.333)</f>
        <v>0.60344089424071479</v>
      </c>
      <c r="G286" s="2">
        <f>0.241638523072764*(8350/2783.333)</f>
        <v>0.72491565603453756</v>
      </c>
      <c r="H286" s="2">
        <f>0.241136366220484*(8350/2783.333)</f>
        <v>0.72340918529728282</v>
      </c>
      <c r="I286" s="2">
        <f>0.232993571959601*(8350/2783.333)</f>
        <v>0.69898079958907744</v>
      </c>
      <c r="J286" s="2">
        <f>0.203997769296861*(8350/2783.333)</f>
        <v>0.61199338118320468</v>
      </c>
      <c r="K286" s="2">
        <f>0.256128445462089*(8350/2783.333)</f>
        <v>0.76838542840847301</v>
      </c>
      <c r="L286" s="2">
        <f>0.310376150586628*(8350/2783.333)</f>
        <v>0.93112856327228777</v>
      </c>
      <c r="M286" s="2">
        <f>0.652899031733051*(8350/2783.333)</f>
        <v>1.958697329773682</v>
      </c>
      <c r="N286" s="2">
        <f>0.506285146280184*(8350/2783.333)</f>
        <v>1.5188556207394273</v>
      </c>
      <c r="O286" s="2">
        <f>0.338402252756519*(8350/2783.333)</f>
        <v>1.015206879851219</v>
      </c>
      <c r="P286" s="2">
        <f>0.578924261875861*(8350/2783.333)</f>
        <v>1.7367729936243492</v>
      </c>
      <c r="Q286" s="2">
        <f>0.290071048898756*(8350/2783.333)</f>
        <v>0.87021325091342427</v>
      </c>
      <c r="R286" s="2">
        <f>0.17380932046761*(8350/2783.333)</f>
        <v>0.52142802384930087</v>
      </c>
      <c r="S286" s="2">
        <f>0.0140214296205201*(8350/2783.333)</f>
        <v>4.2064293899200196E-2</v>
      </c>
      <c r="T286" s="2">
        <f t="shared" si="69"/>
        <v>0.10069243236843764</v>
      </c>
      <c r="U286" s="2">
        <f t="shared" si="70"/>
        <v>0.11437794326585224</v>
      </c>
      <c r="V286" s="2">
        <f t="shared" si="71"/>
        <v>0.11043877033537902</v>
      </c>
      <c r="W286" s="2">
        <f t="shared" si="72"/>
        <v>0.10705744606724045</v>
      </c>
      <c r="X286" s="2">
        <f t="shared" si="73"/>
        <v>0.11728533803050227</v>
      </c>
      <c r="Y286" s="2">
        <f t="shared" si="74"/>
        <v>0.10928020503416074</v>
      </c>
      <c r="Z286" s="2">
        <f t="shared" si="75"/>
        <v>0.10579568013572224</v>
      </c>
      <c r="AA286" s="2">
        <f t="shared" si="76"/>
        <v>0.11798772791544039</v>
      </c>
      <c r="AB286" s="2">
        <f t="shared" si="77"/>
        <v>0.10026757173055721</v>
      </c>
      <c r="AC286" s="2">
        <f t="shared" si="78"/>
        <v>0.1151901624778385</v>
      </c>
      <c r="AD286" s="2">
        <f t="shared" si="79"/>
        <v>0.10227444344259566</v>
      </c>
      <c r="AE286" s="2">
        <f t="shared" si="80"/>
        <v>0.10987695088187602</v>
      </c>
      <c r="AF286" s="2">
        <f t="shared" si="81"/>
        <v>0.11908712371493149</v>
      </c>
      <c r="AG286" s="2">
        <f t="shared" si="82"/>
        <v>9.9235315312320327E-2</v>
      </c>
      <c r="AH286" s="2">
        <f t="shared" si="83"/>
        <v>0.1199891551819615</v>
      </c>
      <c r="AI286" s="2">
        <f t="shared" si="84"/>
        <v>0.10099811712417744</v>
      </c>
      <c r="AJ286" s="2">
        <f>0.000151601567155579*(8350/2783.333)</f>
        <v>4.5480475593437099E-4</v>
      </c>
      <c r="AK286" s="2">
        <f>0.19545368455169*(8350/2783.333)</f>
        <v>0.58636112387795969</v>
      </c>
      <c r="AL286" s="2">
        <f>0.295479596482096*(8350/2783.333)</f>
        <v>0.88643889560663425</v>
      </c>
      <c r="AM286" s="2">
        <f>0.297773094336125*(8350/2783.333)</f>
        <v>0.89331938999273452</v>
      </c>
      <c r="AN286" s="2">
        <f>0.119563670107439*(8350/2783.333)</f>
        <v>0.35869105327932993</v>
      </c>
      <c r="AO286" s="2">
        <f>0.0941702858794864*(8350/2783.333)</f>
        <v>0.28251089147209896</v>
      </c>
      <c r="AP286" s="2">
        <f>0.149926958490099*(8350/2783.333)</f>
        <v>0.44978092933627778</v>
      </c>
      <c r="AQ286" s="2">
        <f>0.161433026493302*(8350/2783.333)</f>
        <v>0.48429913747980419</v>
      </c>
      <c r="AR286" s="2">
        <f>0.141779188488049*(8350/2783.333)</f>
        <v>0.42533761640278489</v>
      </c>
      <c r="AS286" s="2">
        <f>0.328641064079398*(8350/2783.333)</f>
        <v>0.98592331031284064</v>
      </c>
      <c r="AT286" s="2">
        <f>0.208052905639807*(8350/2783.333)</f>
        <v>0.62415879166897836</v>
      </c>
      <c r="AU286" s="2">
        <f>0.194723493920517*(8350/2783.333)</f>
        <v>0.5841705517220952</v>
      </c>
      <c r="AV286" s="2">
        <f>0.078996719688284*(8350/2783.333)</f>
        <v>0.23699018744691047</v>
      </c>
      <c r="AW286" s="2">
        <f>0.0788048218135809*(8350/2783.333)</f>
        <v>0.23641449375385587</v>
      </c>
    </row>
    <row r="287" spans="1:49" x14ac:dyDescent="0.25">
      <c r="A287" s="5">
        <v>45909</v>
      </c>
      <c r="B287" s="2">
        <f>0.206396279142072*(8350/2783.333)</f>
        <v>0.61918891158057598</v>
      </c>
      <c r="C287" s="2">
        <f>0.236444036612203*(8350/2783.333)</f>
        <v>0.70933219478657272</v>
      </c>
      <c r="D287" s="2">
        <f>0.197171114895585*(8350/2783.333)</f>
        <v>0.59151341552668613</v>
      </c>
      <c r="E287" s="2">
        <f>0.226547118926786*(8350/2783.333)</f>
        <v>0.67964143817454159</v>
      </c>
      <c r="F287" s="2">
        <f>0.193335408981431*(8350/2783.333)</f>
        <v>0.58000629640612456</v>
      </c>
      <c r="G287" s="2">
        <f>0.235479109739537*(8350/2783.333)</f>
        <v>0.70643741382189262</v>
      </c>
      <c r="H287" s="2">
        <f>0.229676420103075*(8350/2783.333)</f>
        <v>0.68902934282770922</v>
      </c>
      <c r="I287" s="2">
        <f>0.236721469110954*(8350/2783.333)</f>
        <v>0.71016449238250245</v>
      </c>
      <c r="J287" s="2">
        <f>0.198056086695982*(8350/2783.333)</f>
        <v>0.59416833124582991</v>
      </c>
      <c r="K287" s="2">
        <f>0.260842465930716*(8350/2783.333)</f>
        <v>0.78252749150801548</v>
      </c>
      <c r="L287" s="2">
        <f>0.262529961153033*(8350/2783.333)</f>
        <v>0.78758997778125106</v>
      </c>
      <c r="M287" s="2">
        <f>0.271820986895609*(8350/2783.333)</f>
        <v>0.81546305834707222</v>
      </c>
      <c r="N287" s="2">
        <f>0.260825499484422*(8350/2783.333)</f>
        <v>0.78247659216303611</v>
      </c>
      <c r="O287" s="2">
        <f>0.39323768994015*(8350/2783.333)</f>
        <v>1.1797132111034696</v>
      </c>
      <c r="P287" s="2">
        <f>0.331922324381544*(8350/2783.333)</f>
        <v>0.99576709239817507</v>
      </c>
      <c r="Q287" s="2">
        <f>0.386289738289563*(8350/2783.333)</f>
        <v>1.158869353655438</v>
      </c>
      <c r="R287" s="2">
        <f>0.186835714935204*(8350/2783.333)</f>
        <v>0.56050721193222508</v>
      </c>
      <c r="S287" s="2">
        <f>0.148380623346822*(8350/2783.333)</f>
        <v>0.44514192335087693</v>
      </c>
      <c r="T287" s="2">
        <f t="shared" si="69"/>
        <v>0.10069243236843764</v>
      </c>
      <c r="U287" s="2">
        <f t="shared" si="70"/>
        <v>0.11437794326585224</v>
      </c>
      <c r="V287" s="2">
        <f t="shared" si="71"/>
        <v>0.11043877033537902</v>
      </c>
      <c r="W287" s="2">
        <f t="shared" si="72"/>
        <v>0.10705744606724045</v>
      </c>
      <c r="X287" s="2">
        <f t="shared" si="73"/>
        <v>0.11728533803050227</v>
      </c>
      <c r="Y287" s="2">
        <f t="shared" si="74"/>
        <v>0.10928020503416074</v>
      </c>
      <c r="Z287" s="2">
        <f t="shared" si="75"/>
        <v>0.10579568013572224</v>
      </c>
      <c r="AA287" s="2">
        <f t="shared" si="76"/>
        <v>0.11798772791544039</v>
      </c>
      <c r="AB287" s="2">
        <f t="shared" si="77"/>
        <v>0.10026757173055721</v>
      </c>
      <c r="AC287" s="2">
        <f t="shared" si="78"/>
        <v>0.1151901624778385</v>
      </c>
      <c r="AD287" s="2">
        <f t="shared" si="79"/>
        <v>0.10227444344259566</v>
      </c>
      <c r="AE287" s="2">
        <f t="shared" si="80"/>
        <v>0.10987695088187602</v>
      </c>
      <c r="AF287" s="2">
        <f t="shared" si="81"/>
        <v>0.11908712371493149</v>
      </c>
      <c r="AG287" s="2">
        <f t="shared" si="82"/>
        <v>9.9235315312320327E-2</v>
      </c>
      <c r="AH287" s="2">
        <f t="shared" si="83"/>
        <v>0.1199891551819615</v>
      </c>
      <c r="AI287" s="2">
        <f t="shared" si="84"/>
        <v>0.10099811712417744</v>
      </c>
      <c r="AJ287" s="2">
        <f>0.0650370723097432*(8350/2783.333)</f>
        <v>0.19511124029584515</v>
      </c>
      <c r="AK287" s="2">
        <f>0.169073432649008*(8350/2783.333)</f>
        <v>0.50722035869197712</v>
      </c>
      <c r="AL287" s="2">
        <f>0.122445825001335*(8350/2783.333)</f>
        <v>0.36733751899652345</v>
      </c>
      <c r="AM287" s="2">
        <f>0.130544253343806*(8350/2783.333)</f>
        <v>0.39163280693355174</v>
      </c>
      <c r="AN287" s="2">
        <f>0.157140823569777*(8350/2783.333)</f>
        <v>0.47142252716711958</v>
      </c>
      <c r="AO287" s="2">
        <f>0.142225487231617*(8350/2783.333)</f>
        <v>0.42667651279383545</v>
      </c>
      <c r="AP287" s="2">
        <f>0.142430610565594*(8350/2783.333)</f>
        <v>0.42729188286946373</v>
      </c>
      <c r="AQ287" s="2">
        <f>0.14466296392999*(8350/2783.333)</f>
        <v>0.43398894376469349</v>
      </c>
      <c r="AR287" s="2">
        <f>0.153539674169086*(8350/2783.333)</f>
        <v>0.46061907767121874</v>
      </c>
      <c r="AS287" s="2">
        <f>0.166893064830927*(8350/2783.333)</f>
        <v>0.50067925445436834</v>
      </c>
      <c r="AT287" s="2">
        <f>0.155588815959162*(8350/2783.333)</f>
        <v>0.46676650377766732</v>
      </c>
      <c r="AU287" s="2">
        <f>0.134349259008193*(8350/2783.333)</f>
        <v>0.4030478252937793</v>
      </c>
      <c r="AV287" s="2">
        <f>0.103934899825174*(8350/2783.333)</f>
        <v>0.31180473681740578</v>
      </c>
      <c r="AW287" s="2">
        <f>0.101653557132312*(8350/2783.333)</f>
        <v>0.30496070791917496</v>
      </c>
    </row>
    <row r="288" spans="1:49" x14ac:dyDescent="0.25">
      <c r="A288" s="5">
        <v>45910</v>
      </c>
      <c r="B288" s="2">
        <f>0.306325699360179*(8350/2783.333)</f>
        <v>0.91897720813768835</v>
      </c>
      <c r="C288" s="2">
        <f>0.30372486003844*(8350/2783.333)</f>
        <v>0.91117468923803635</v>
      </c>
      <c r="D288" s="2">
        <f>0.245681468560372*(8350/2783.333)</f>
        <v>0.73704449394991856</v>
      </c>
      <c r="E288" s="2">
        <f>0.280751644314176*(8350/2783.333)</f>
        <v>0.84225503381139433</v>
      </c>
      <c r="F288" s="2">
        <f>0.221847499598894*(8350/2783.333)</f>
        <v>0.6655425785023813</v>
      </c>
      <c r="G288" s="2">
        <f>0.3070230646101*(8350/2783.333)</f>
        <v>0.92106930413800092</v>
      </c>
      <c r="H288" s="2">
        <f>0.304166069866235*(8350/2783.333)</f>
        <v>0.91249831887993971</v>
      </c>
      <c r="I288" s="2">
        <f>0.294037887813016*(8350/2783.333)</f>
        <v>0.88211376908141514</v>
      </c>
      <c r="J288" s="2">
        <f>0.251531230103897*(8350/2783.333)</f>
        <v>0.75459378068220428</v>
      </c>
      <c r="K288" s="2">
        <f>0.330505212855988*(8350/2783.333)</f>
        <v>0.99151575731236541</v>
      </c>
      <c r="L288" s="2">
        <f>0.316616957904054*(8350/2783.333)</f>
        <v>0.94985098746677066</v>
      </c>
      <c r="M288" s="2">
        <f>0.48857289216731*(8350/2783.333)</f>
        <v>1.4657188520371207</v>
      </c>
      <c r="N288" s="2">
        <f>0.929437089552492*(8350/2783.333)</f>
        <v>2.7883116025870103</v>
      </c>
      <c r="O288" s="2">
        <f>0.522438993989254*(8350/2783.333)</f>
        <v>1.567317169670416</v>
      </c>
      <c r="P288" s="2">
        <f>0.530213583102985*(8350/2783.333)</f>
        <v>1.5906409398048771</v>
      </c>
      <c r="Q288" s="2">
        <f>1.04567075676186*(8350/2783.333)</f>
        <v>3.1370126459757084</v>
      </c>
      <c r="R288" s="2">
        <f>0.819546303361195*(8350/2783.333)</f>
        <v>2.4586392045313934</v>
      </c>
      <c r="S288" s="2">
        <f>0.112479600252524*(8350/2783.333)</f>
        <v>0.33743884116940837</v>
      </c>
      <c r="T288" s="2">
        <f t="shared" si="69"/>
        <v>0.10069243236843764</v>
      </c>
      <c r="U288" s="2">
        <f t="shared" si="70"/>
        <v>0.11437794326585224</v>
      </c>
      <c r="V288" s="2">
        <f t="shared" si="71"/>
        <v>0.11043877033537902</v>
      </c>
      <c r="W288" s="2">
        <f t="shared" si="72"/>
        <v>0.10705744606724045</v>
      </c>
      <c r="X288" s="2">
        <f t="shared" si="73"/>
        <v>0.11728533803050227</v>
      </c>
      <c r="Y288" s="2">
        <f t="shared" si="74"/>
        <v>0.10928020503416074</v>
      </c>
      <c r="Z288" s="2">
        <f t="shared" si="75"/>
        <v>0.10579568013572224</v>
      </c>
      <c r="AA288" s="2">
        <f t="shared" si="76"/>
        <v>0.11798772791544039</v>
      </c>
      <c r="AB288" s="2">
        <f t="shared" si="77"/>
        <v>0.10026757173055721</v>
      </c>
      <c r="AC288" s="2">
        <f t="shared" si="78"/>
        <v>0.1151901624778385</v>
      </c>
      <c r="AD288" s="2">
        <f t="shared" si="79"/>
        <v>0.10227444344259566</v>
      </c>
      <c r="AE288" s="2">
        <f t="shared" si="80"/>
        <v>0.10987695088187602</v>
      </c>
      <c r="AF288" s="2">
        <f t="shared" si="81"/>
        <v>0.11908712371493149</v>
      </c>
      <c r="AG288" s="2">
        <f t="shared" si="82"/>
        <v>9.9235315312320327E-2</v>
      </c>
      <c r="AH288" s="2">
        <f t="shared" si="83"/>
        <v>0.1199891551819615</v>
      </c>
      <c r="AI288" s="2">
        <f t="shared" si="84"/>
        <v>0.10099811712417744</v>
      </c>
      <c r="AJ288" s="2">
        <f>0.00682207052200103*(8350/2783.333)</f>
        <v>2.0466214017046687E-2</v>
      </c>
      <c r="AK288" s="2">
        <f>0.109118314688367*(8350/2783.333)</f>
        <v>0.32735498326929002</v>
      </c>
      <c r="AL288" s="2">
        <f>0.0106349660212427*(8350/2783.333)</f>
        <v>3.1904901884674548E-2</v>
      </c>
      <c r="AM288" s="2">
        <f>0.0664288479040635*(8350/2783.333)</f>
        <v>0.19928656757884544</v>
      </c>
      <c r="AN288" s="2">
        <f>0.143786959116219*(8350/2783.333)</f>
        <v>0.43136092900864909</v>
      </c>
      <c r="AO288" s="2">
        <f>0.0874544968706482*(8350/2783.333)</f>
        <v>0.26236352203272567</v>
      </c>
      <c r="AP288" s="2">
        <f>0.122107178414714*(8350/2783.333)</f>
        <v>0.36632157911499069</v>
      </c>
      <c r="AQ288" s="2">
        <f>0.18989131447953*(8350/2783.333)</f>
        <v>0.56967401166302278</v>
      </c>
      <c r="AR288" s="2">
        <f>0.220835786677238*(8350/2783.333)</f>
        <v>0.66250743937392376</v>
      </c>
      <c r="AS288" s="2">
        <f>0.228794635119855*(8350/2783.333)</f>
        <v>0.68638398756123897</v>
      </c>
      <c r="AT288" s="2">
        <f>0.141980942698245*(8350/2783.333)</f>
        <v>0.42594287910585887</v>
      </c>
      <c r="AU288" s="2">
        <f>0.133022352746383*(8350/2783.333)</f>
        <v>0.39906710603161827</v>
      </c>
      <c r="AV288" s="2">
        <f>0.125310482799651*(8350/2783.333)</f>
        <v>0.37593149342068755</v>
      </c>
      <c r="AW288" s="2">
        <f>0.12947616680614*(8350/2783.333)</f>
        <v>0.38842854693680856</v>
      </c>
    </row>
    <row r="289" spans="1:49" x14ac:dyDescent="0.25">
      <c r="A289" s="5">
        <v>45911</v>
      </c>
      <c r="B289" s="2">
        <f>0.247021791099901*(8350/2783.333)</f>
        <v>0.74106546205005652</v>
      </c>
      <c r="C289" s="2">
        <f>0.283060035700381*(8350/2783.333)</f>
        <v>0.84918020879937217</v>
      </c>
      <c r="D289" s="2">
        <f>0.214775678725548*(8350/2783.333)</f>
        <v>0.64432711334156889</v>
      </c>
      <c r="E289" s="2">
        <f>0.214964955382472*(8350/2783.333)</f>
        <v>0.64489494338034214</v>
      </c>
      <c r="F289" s="2">
        <f>0.185133300721612*(8350/2783.333)</f>
        <v>0.55539996867980357</v>
      </c>
      <c r="G289" s="2">
        <f>0.229793497431942*(8350/2783.333)</f>
        <v>0.6893805748563745</v>
      </c>
      <c r="H289" s="2">
        <f>0.23779388193624*(8350/2783.333)</f>
        <v>0.71338173124365722</v>
      </c>
      <c r="I289" s="2">
        <f>0.228799687664328*(8350/2783.333)</f>
        <v>0.68639914519647383</v>
      </c>
      <c r="J289" s="2">
        <f>0.189341618881359*(8350/2783.333)</f>
        <v>0.56802492467101351</v>
      </c>
      <c r="K289" s="2">
        <f>0.241462604004137*(8350/2783.333)</f>
        <v>0.72438789876545184</v>
      </c>
      <c r="L289" s="2">
        <f>0.266274445543488*(8350/2783.333)</f>
        <v>0.79882343229794162</v>
      </c>
      <c r="M289" s="2">
        <f>0.255961091387923*(8350/2783.333)</f>
        <v>0.76788336612584962</v>
      </c>
      <c r="N289" s="2">
        <f>0.279737318178156*(8350/2783.333)</f>
        <v>0.83921205503890506</v>
      </c>
      <c r="O289" s="2">
        <f>0.427415941883372*(8350/2783.333)</f>
        <v>1.2822479792127488</v>
      </c>
      <c r="P289" s="2">
        <f>0.225017471853462*(8350/2783.333)</f>
        <v>0.67505249640499632</v>
      </c>
      <c r="Q289" s="2">
        <f>0.624949820798133*(8350/2783.333)</f>
        <v>1.8748496869272959</v>
      </c>
      <c r="R289" s="2">
        <f>0.411634065175968*(8350/2783.333)</f>
        <v>1.2349023434204003</v>
      </c>
      <c r="S289" s="2">
        <f>0.027426532664314*(8350/2783.333)</f>
        <v>8.2279607846787256E-2</v>
      </c>
      <c r="T289" s="2">
        <f t="shared" si="69"/>
        <v>0.10069243236843764</v>
      </c>
      <c r="U289" s="2">
        <f t="shared" si="70"/>
        <v>0.11437794326585224</v>
      </c>
      <c r="V289" s="2">
        <f t="shared" si="71"/>
        <v>0.11043877033537902</v>
      </c>
      <c r="W289" s="2">
        <f t="shared" si="72"/>
        <v>0.10705744606724045</v>
      </c>
      <c r="X289" s="2">
        <f t="shared" si="73"/>
        <v>0.11728533803050227</v>
      </c>
      <c r="Y289" s="2">
        <f t="shared" si="74"/>
        <v>0.10928020503416074</v>
      </c>
      <c r="Z289" s="2">
        <f t="shared" si="75"/>
        <v>0.10579568013572224</v>
      </c>
      <c r="AA289" s="2">
        <f t="shared" si="76"/>
        <v>0.11798772791544039</v>
      </c>
      <c r="AB289" s="2">
        <f t="shared" si="77"/>
        <v>0.10026757173055721</v>
      </c>
      <c r="AC289" s="2">
        <f t="shared" si="78"/>
        <v>0.1151901624778385</v>
      </c>
      <c r="AD289" s="2">
        <f t="shared" si="79"/>
        <v>0.10227444344259566</v>
      </c>
      <c r="AE289" s="2">
        <f t="shared" si="80"/>
        <v>0.10987695088187602</v>
      </c>
      <c r="AF289" s="2">
        <f t="shared" si="81"/>
        <v>0.11908712371493149</v>
      </c>
      <c r="AG289" s="2">
        <f t="shared" si="82"/>
        <v>9.9235315312320327E-2</v>
      </c>
      <c r="AH289" s="2">
        <f t="shared" si="83"/>
        <v>0.1199891551819615</v>
      </c>
      <c r="AI289" s="2">
        <f t="shared" si="84"/>
        <v>0.10099811712417744</v>
      </c>
      <c r="AJ289" s="2">
        <f>0.103695471934416*(8350/2783.333)</f>
        <v>0.3110864530591097</v>
      </c>
      <c r="AK289" s="2">
        <f>0.0254809251332725*(8350/2783.333)</f>
        <v>7.6442784554641957E-2</v>
      </c>
      <c r="AL289" s="2">
        <f>0.0365038022891305*(8350/2783.333)</f>
        <v>0.10951141998253161</v>
      </c>
      <c r="AM289" s="2">
        <f>0.180118020436391*(8350/2783.333)</f>
        <v>0.54035412602224253</v>
      </c>
      <c r="AN289" s="2">
        <f>0.263040074236366*(8350/2783.333)</f>
        <v>0.78912031721452636</v>
      </c>
      <c r="AO289" s="2">
        <f>0.114466892661753*(8350/2783.333)</f>
        <v>0.34340071911109332</v>
      </c>
      <c r="AP289" s="2">
        <f>0.156590378867437*(8350/2783.333)</f>
        <v>0.46977119286233437</v>
      </c>
      <c r="AQ289" s="2">
        <f>0.171596700774098*(8350/2783.333)</f>
        <v>0.51479016397381094</v>
      </c>
      <c r="AR289" s="2">
        <f>0.211035381943041*(8350/2783.333)</f>
        <v>0.63310622165022856</v>
      </c>
      <c r="AS289" s="2">
        <f>0.23570831699628*(8350/2783.333)</f>
        <v>0.70712503567447393</v>
      </c>
      <c r="AT289" s="2">
        <f>0.225595585626773*(8350/2783.333)</f>
        <v>0.67678683793263517</v>
      </c>
      <c r="AU289" s="2">
        <f>0.117099477604672*(8350/2783.333)</f>
        <v>0.35129847488568905</v>
      </c>
      <c r="AV289" s="2">
        <f>0.0983586607883537*(8350/2783.333)</f>
        <v>0.29507601770350628</v>
      </c>
      <c r="AW289" s="2">
        <f>0.0959025149092297*(8350/2783.333)</f>
        <v>0.28770757918368656</v>
      </c>
    </row>
    <row r="290" spans="1:49" x14ac:dyDescent="0.25">
      <c r="A290" s="5">
        <v>45912</v>
      </c>
      <c r="B290" s="2">
        <f>0.283911623797239*(8350/2783.333)</f>
        <v>0.85173497339590576</v>
      </c>
      <c r="C290" s="2">
        <f>0.284501767630943*(8350/2783.333)</f>
        <v>0.8535054051090466</v>
      </c>
      <c r="D290" s="2">
        <f>0.201083240191133*(8350/2783.333)</f>
        <v>0.60324979281888225</v>
      </c>
      <c r="E290" s="2">
        <f>0.216354815007789*(8350/2783.333)</f>
        <v>0.64906452275564575</v>
      </c>
      <c r="F290" s="2">
        <f>0.171853696872383*(8350/2783.333)</f>
        <v>0.5155611523609992</v>
      </c>
      <c r="G290" s="2">
        <f>0.238795716918966*(8350/2783.333)</f>
        <v>0.71638723655177783</v>
      </c>
      <c r="H290" s="2">
        <f>0.237316384181348*(8350/2783.333)</f>
        <v>0.71194923780742514</v>
      </c>
      <c r="I290" s="2">
        <f>0.226935739088651*(8350/2783.333)</f>
        <v>0.68080729879976154</v>
      </c>
      <c r="J290" s="2">
        <f>0.197263862349198*(8350/2783.333)</f>
        <v>0.59179165792084709</v>
      </c>
      <c r="K290" s="2">
        <f>0.258747345722437*(8350/2783.333)</f>
        <v>0.77624213013044085</v>
      </c>
      <c r="L290" s="2">
        <f>0.257121261477931*(8350/2783.333)</f>
        <v>0.77136387681269947</v>
      </c>
      <c r="M290" s="2">
        <f>0.382399702796416*(8350/2783.333)</f>
        <v>1.147199245778378</v>
      </c>
      <c r="N290" s="2">
        <f>0.493677267151027*(8350/2783.333)</f>
        <v>1.4810319788221802</v>
      </c>
      <c r="O290" s="2">
        <f>0.38309688991304*(8350/2783.333)</f>
        <v>1.1492908073787378</v>
      </c>
      <c r="P290" s="2">
        <f>0.408652420147667*(8350/2783.333)</f>
        <v>1.2259574072642467</v>
      </c>
      <c r="Q290" s="2">
        <f>0.685322331788443*(8350/2783.333)</f>
        <v>2.0559672415889518</v>
      </c>
      <c r="R290" s="2">
        <f>0.326032044388922*(8350/2783.333)</f>
        <v>0.97809625030404168</v>
      </c>
      <c r="S290" s="2">
        <f>0.0238826548481386*(8350/2783.333)</f>
        <v>7.164797312501138E-2</v>
      </c>
      <c r="T290" s="2">
        <f t="shared" si="69"/>
        <v>0.10069243236843764</v>
      </c>
      <c r="U290" s="2">
        <f t="shared" si="70"/>
        <v>0.11437794326585224</v>
      </c>
      <c r="V290" s="2">
        <f t="shared" si="71"/>
        <v>0.11043877033537902</v>
      </c>
      <c r="W290" s="2">
        <f t="shared" si="72"/>
        <v>0.10705744606724045</v>
      </c>
      <c r="X290" s="2">
        <f t="shared" si="73"/>
        <v>0.11728533803050227</v>
      </c>
      <c r="Y290" s="2">
        <f t="shared" si="74"/>
        <v>0.10928020503416074</v>
      </c>
      <c r="Z290" s="2">
        <f t="shared" si="75"/>
        <v>0.10579568013572224</v>
      </c>
      <c r="AA290" s="2">
        <f t="shared" si="76"/>
        <v>0.11798772791544039</v>
      </c>
      <c r="AB290" s="2">
        <f t="shared" si="77"/>
        <v>0.10026757173055721</v>
      </c>
      <c r="AC290" s="2">
        <f t="shared" si="78"/>
        <v>0.1151901624778385</v>
      </c>
      <c r="AD290" s="2">
        <f t="shared" si="79"/>
        <v>0.10227444344259566</v>
      </c>
      <c r="AE290" s="2">
        <f t="shared" si="80"/>
        <v>0.10987695088187602</v>
      </c>
      <c r="AF290" s="2">
        <f t="shared" si="81"/>
        <v>0.11908712371493149</v>
      </c>
      <c r="AG290" s="2">
        <f t="shared" si="82"/>
        <v>9.9235315312320327E-2</v>
      </c>
      <c r="AH290" s="2">
        <f t="shared" si="83"/>
        <v>0.1199891551819615</v>
      </c>
      <c r="AI290" s="2">
        <f t="shared" si="84"/>
        <v>0.10099811712417744</v>
      </c>
      <c r="AJ290" s="2">
        <f>0.139170238648821*(8350/2783.333)</f>
        <v>0.41751076594775233</v>
      </c>
      <c r="AK290" s="2">
        <f>0.0902324525307649*(8350/2783.333)</f>
        <v>0.27069739001114379</v>
      </c>
      <c r="AL290" s="2">
        <f>0.0298928774651148*(8350/2783.333)</f>
        <v>8.9678643135301508E-2</v>
      </c>
      <c r="AM290" s="2">
        <f>0.143102941007261*(8350/2783.333)</f>
        <v>0.42930887443602006</v>
      </c>
      <c r="AN290" s="2">
        <f>0.206829621536505*(8350/2783.333)</f>
        <v>0.62048893891956869</v>
      </c>
      <c r="AO290" s="2">
        <f>0.113869933638745*(8350/2783.333)</f>
        <v>0.3416098418275933</v>
      </c>
      <c r="AP290" s="2">
        <f>0.149094030942932*(8350/2783.333)</f>
        <v>0.44728214639552072</v>
      </c>
      <c r="AQ290" s="2">
        <f>0.16007786992253*(8350/2783.333)</f>
        <v>0.4802336672806034</v>
      </c>
      <c r="AR290" s="2">
        <f>0.139165747225597*(8350/2783.333)</f>
        <v>0.41749729167646638</v>
      </c>
      <c r="AS290" s="2">
        <f>0.248892547551325*(8350/2783.333)</f>
        <v>0.7466777320764566</v>
      </c>
      <c r="AT290" s="2">
        <f>0.161818926608739*(8350/2783.333)</f>
        <v>0.48545683796476075</v>
      </c>
      <c r="AU290" s="2">
        <f>0.124563325327349*(8350/2783.333)</f>
        <v>0.37369002073534352</v>
      </c>
      <c r="AV290" s="2">
        <f>0.0909236754059269*(8350/2783.333)</f>
        <v>0.27277105888497344</v>
      </c>
      <c r="AW290" s="2">
        <f>0.101653557132312*(8350/2783.333)</f>
        <v>0.30496070791917496</v>
      </c>
    </row>
    <row r="291" spans="1:49" x14ac:dyDescent="0.25">
      <c r="A291" s="5">
        <v>45913</v>
      </c>
      <c r="B291" s="2">
        <f>0.237682592948675*(8350/2783.333)</f>
        <v>0.71304786424097999</v>
      </c>
      <c r="C291" s="2">
        <f>0.23884692316314*(8350/2783.333)</f>
        <v>0.71654085530269673</v>
      </c>
      <c r="D291" s="2">
        <f>0.195606264777367*(8350/2783.333)</f>
        <v>0.58681886460980814</v>
      </c>
      <c r="E291" s="2">
        <f>0.229326838177421*(8350/2783.333)</f>
        <v>0.68798059692514946</v>
      </c>
      <c r="F291" s="2">
        <f>0.194507138732833*(8350/2783.333)</f>
        <v>0.5835214860813126</v>
      </c>
      <c r="G291" s="2">
        <f>0.235479109739537*(8350/2783.333)</f>
        <v>0.70643741382189262</v>
      </c>
      <c r="H291" s="2">
        <f>0.237316384181348*(8350/2783.333)</f>
        <v>0.71194923780742514</v>
      </c>
      <c r="I291" s="2">
        <f>0.216218034778509*(8350/2783.333)</f>
        <v>0.64865418201866343</v>
      </c>
      <c r="J291" s="2">
        <f>0.175873804986032*(8350/2783.333)</f>
        <v>0.52762147814629667</v>
      </c>
      <c r="K291" s="2">
        <f>0.261890026034856*(8350/2783.333)</f>
        <v>0.78567017219680335</v>
      </c>
      <c r="L291" s="2">
        <f>0.262113907331871*(8350/2783.333)</f>
        <v>0.78634181616828613</v>
      </c>
      <c r="M291" s="2">
        <f>0.264331591794757*(8350/2783.333)</f>
        <v>0.79299487035371741</v>
      </c>
      <c r="N291" s="2">
        <f>0.235215745003323*(8350/2783.333)</f>
        <v>0.70564731951862913</v>
      </c>
      <c r="O291" s="2">
        <f>0.185914667163681*(8350/2783.333)</f>
        <v>0.55774406828674039</v>
      </c>
      <c r="P291" s="2">
        <f>0.241398054095668*(8350/2783.333)</f>
        <v>0.72419424901685481</v>
      </c>
      <c r="Q291" s="2">
        <f>0.266488036793166*(8350/2783.333)</f>
        <v>0.79946420612371483</v>
      </c>
      <c r="R291" s="2">
        <f>0.0699703474259331*(8350/2783.333)</f>
        <v>0.2099110674168492</v>
      </c>
      <c r="S291" s="2">
        <f>0.158395930218622*(8350/2783.333)</f>
        <v>0.47518784756459143</v>
      </c>
      <c r="T291" s="2">
        <f t="shared" si="69"/>
        <v>0.10069243236843764</v>
      </c>
      <c r="U291" s="2">
        <f t="shared" si="70"/>
        <v>0.11437794326585224</v>
      </c>
      <c r="V291" s="2">
        <f t="shared" si="71"/>
        <v>0.11043877033537902</v>
      </c>
      <c r="W291" s="2">
        <f t="shared" si="72"/>
        <v>0.10705744606724045</v>
      </c>
      <c r="X291" s="2">
        <f t="shared" si="73"/>
        <v>0.11728533803050227</v>
      </c>
      <c r="Y291" s="2">
        <f t="shared" si="74"/>
        <v>0.10928020503416074</v>
      </c>
      <c r="Z291" s="2">
        <f t="shared" si="75"/>
        <v>0.10579568013572224</v>
      </c>
      <c r="AA291" s="2">
        <f t="shared" si="76"/>
        <v>0.11798772791544039</v>
      </c>
      <c r="AB291" s="2">
        <f t="shared" si="77"/>
        <v>0.10026757173055721</v>
      </c>
      <c r="AC291" s="2">
        <f t="shared" si="78"/>
        <v>0.1151901624778385</v>
      </c>
      <c r="AD291" s="2">
        <f t="shared" si="79"/>
        <v>0.10227444344259566</v>
      </c>
      <c r="AE291" s="2">
        <f t="shared" si="80"/>
        <v>0.10987695088187602</v>
      </c>
      <c r="AF291" s="2">
        <f t="shared" si="81"/>
        <v>0.11908712371493149</v>
      </c>
      <c r="AG291" s="2">
        <f t="shared" si="82"/>
        <v>9.9235315312320327E-2</v>
      </c>
      <c r="AH291" s="2">
        <f t="shared" si="83"/>
        <v>0.1199891551819615</v>
      </c>
      <c r="AI291" s="2">
        <f t="shared" si="84"/>
        <v>0.10099811712417744</v>
      </c>
      <c r="AJ291" s="2">
        <f>0.0404776184305395*(8350/2783.333)</f>
        <v>0.12143286983447704</v>
      </c>
      <c r="AK291" s="2">
        <f>0.113614948535415*(8350/2783.333)</f>
        <v>0.34084488642599159</v>
      </c>
      <c r="AL291" s="2">
        <f>0.0146590072184697*(8350/2783.333)</f>
        <v>4.3977026922118967E-2</v>
      </c>
      <c r="AM291" s="2">
        <f>0.0889022889860353*(8350/2783.333)</f>
        <v>0.26670689889905186</v>
      </c>
      <c r="AN291" s="2">
        <f>0.127638099777033*(8350/2783.333)</f>
        <v>0.38291434518910322</v>
      </c>
      <c r="AO291" s="2">
        <f>0.0940210461237345*(8350/2783.333)</f>
        <v>0.28206317215122401</v>
      </c>
      <c r="AP291" s="2">
        <f>0.137099874263724*(8350/2783.333)</f>
        <v>0.41129967204861834</v>
      </c>
      <c r="AQ291" s="2">
        <f>0.114171941087603*(8350/2783.333)</f>
        <v>0.34251586428267389</v>
      </c>
      <c r="AR291" s="2">
        <f>0.16023661740412*(8350/2783.333)</f>
        <v>0.48070990978241029</v>
      </c>
      <c r="AS291" s="2">
        <f>0.130073689256474*(8350/2783.333)</f>
        <v>0.39022111450248925</v>
      </c>
      <c r="AT291" s="2">
        <f>0.137226384570937*(8350/2783.333)</f>
        <v>0.41167920301570865</v>
      </c>
      <c r="AU291" s="2">
        <f>0.129041633960956*(8350/2783.333)</f>
        <v>0.3871249482451361</v>
      </c>
      <c r="AV291" s="2">
        <f>0.123451736454044*(8350/2783.333)</f>
        <v>0.37035525371605432</v>
      </c>
      <c r="AW291" s="2">
        <f>0.117196914491992*(8350/2783.333)</f>
        <v>0.35159078558265722</v>
      </c>
    </row>
    <row r="292" spans="1:49" x14ac:dyDescent="0.25">
      <c r="A292" s="5">
        <v>45914</v>
      </c>
      <c r="B292" s="2">
        <f>0.323603215939945*(8350/2783.333)</f>
        <v>0.97080976408447794</v>
      </c>
      <c r="C292" s="2">
        <f>0.304686014658815*(8350/2783.333)</f>
        <v>0.91405815344448615</v>
      </c>
      <c r="D292" s="2">
        <f>0.266415732626773*(8350/2783.333)</f>
        <v>0.79924729359855806</v>
      </c>
      <c r="E292" s="2">
        <f>0.231643270886284*(8350/2783.333)</f>
        <v>0.6949298958839889</v>
      </c>
      <c r="F292" s="2">
        <f>0.192554255813829*(8350/2783.333)</f>
        <v>0.57766283662266504</v>
      </c>
      <c r="G292" s="2">
        <f>0.233583905637005*(8350/2783.333)</f>
        <v>0.70075180083338662</v>
      </c>
      <c r="H292" s="2">
        <f>0.23779388193624*(8350/2783.333)</f>
        <v>0.71338173124365722</v>
      </c>
      <c r="I292" s="2">
        <f>0.231129623383924*(8350/2783.333)</f>
        <v>0.6933889531923646</v>
      </c>
      <c r="J292" s="2">
        <f>0.192906628441886*(8350/2783.333)</f>
        <v>0.5787199546334385</v>
      </c>
      <c r="K292" s="2">
        <f>0.258223565670368*(8350/2783.333)</f>
        <v>0.77467078978604764</v>
      </c>
      <c r="L292" s="2">
        <f>0.254208884729799*(8350/2783.333)</f>
        <v>0.76262674552194043</v>
      </c>
      <c r="M292" s="2">
        <f>0.255961091387923*(8350/2783.333)</f>
        <v>0.76788336612584962</v>
      </c>
      <c r="N292" s="2">
        <f>0.19266415294242*(8350/2783.333)</f>
        <v>0.57799252804792234</v>
      </c>
      <c r="O292" s="2">
        <f>0.41840189741483*(8350/2783.333)</f>
        <v>1.2552058425685433</v>
      </c>
      <c r="P292" s="2">
        <f>0.761697074262581*(8350/2783.333)</f>
        <v>2.2850914964513969</v>
      </c>
      <c r="Q292" s="2">
        <f>0.614573295471673*(8350/2783.333)</f>
        <v>1.8437201072198235</v>
      </c>
      <c r="R292" s="2">
        <f>0.191301907324094*(8350/2783.333)</f>
        <v>0.57390579070351322</v>
      </c>
      <c r="S292" s="2">
        <f>0.280736755698765*(8350/2783.333)</f>
        <v>0.8422103679598113</v>
      </c>
      <c r="T292" s="2">
        <f t="shared" si="69"/>
        <v>0.10069243236843764</v>
      </c>
      <c r="U292" s="2">
        <f t="shared" si="70"/>
        <v>0.11437794326585224</v>
      </c>
      <c r="V292" s="2">
        <f t="shared" si="71"/>
        <v>0.11043877033537902</v>
      </c>
      <c r="W292" s="2">
        <f t="shared" si="72"/>
        <v>0.10705744606724045</v>
      </c>
      <c r="X292" s="2">
        <f t="shared" si="73"/>
        <v>0.11728533803050227</v>
      </c>
      <c r="Y292" s="2">
        <f t="shared" si="74"/>
        <v>0.10928020503416074</v>
      </c>
      <c r="Z292" s="2">
        <f t="shared" si="75"/>
        <v>0.10579568013572224</v>
      </c>
      <c r="AA292" s="2">
        <f t="shared" si="76"/>
        <v>0.11798772791544039</v>
      </c>
      <c r="AB292" s="2">
        <f t="shared" si="77"/>
        <v>0.10026757173055721</v>
      </c>
      <c r="AC292" s="2">
        <f t="shared" si="78"/>
        <v>0.1151901624778385</v>
      </c>
      <c r="AD292" s="2">
        <f t="shared" si="79"/>
        <v>0.10227444344259566</v>
      </c>
      <c r="AE292" s="2">
        <f t="shared" si="80"/>
        <v>0.10987695088187602</v>
      </c>
      <c r="AF292" s="2">
        <f t="shared" si="81"/>
        <v>0.11908712371493149</v>
      </c>
      <c r="AG292" s="2">
        <f t="shared" si="82"/>
        <v>9.9235315312320327E-2</v>
      </c>
      <c r="AH292" s="2">
        <f t="shared" si="83"/>
        <v>0.1199891551819615</v>
      </c>
      <c r="AI292" s="2">
        <f t="shared" si="84"/>
        <v>0.10099811712417744</v>
      </c>
      <c r="AJ292" s="2">
        <f>0.00591246111906756*(8350/2783.333)</f>
        <v>1.7737385481440469E-2</v>
      </c>
      <c r="AK292" s="2">
        <f>0.0650513029872956*(8350/2783.333)</f>
        <v>0.19515393233361533</v>
      </c>
      <c r="AL292" s="2">
        <f>0.0201202059861349*(8350/2783.333)</f>
        <v>6.0360625187222142E-2</v>
      </c>
      <c r="AM292" s="2">
        <f>0.103443927333194*(8350/2783.333)</f>
        <v>0.31033181916506786</v>
      </c>
      <c r="AN292" s="2">
        <f>0.228568470646949*(8350/2783.333)</f>
        <v>0.68570549406126513</v>
      </c>
      <c r="AO292" s="2">
        <f>0.142374726987369*(8350/2783.333)</f>
        <v>0.42712423211471023</v>
      </c>
      <c r="AP292" s="2">
        <f>0.142763781584461*(8350/2783.333)</f>
        <v>0.4282913960457666</v>
      </c>
      <c r="AQ292" s="2">
        <f>0.2734028381534*(8350/2783.333)</f>
        <v>0.82020861268877698</v>
      </c>
      <c r="AR292" s="2">
        <f>0.30250582612888*(8350/2783.333)</f>
        <v>0.90751758707138031</v>
      </c>
      <c r="AS292" s="2">
        <f>0.370283938637403*(8350/2783.333)</f>
        <v>1.1108519489483715</v>
      </c>
      <c r="AT292" s="2">
        <f>0.128373069437328*(8350/2783.333)</f>
        <v>0.38511925443405043</v>
      </c>
      <c r="AU292" s="2">
        <f>0.104162141552031*(8350/2783.333)</f>
        <v>0.31248646207962139</v>
      </c>
      <c r="AV292" s="2">
        <f>0.0957254367987442*(8350/2783.333)</f>
        <v>0.28717634478860926</v>
      </c>
      <c r="AW292" s="2">
        <f>0.0781830875191937*(8350/2783.333)</f>
        <v>0.23454929064731656</v>
      </c>
    </row>
    <row r="293" spans="1:49" x14ac:dyDescent="0.25">
      <c r="A293" s="5">
        <v>45915</v>
      </c>
      <c r="B293" s="2">
        <f>0.225541635352083*(8350/2783.333)</f>
        <v>0.67662498708918217</v>
      </c>
      <c r="C293" s="2">
        <f>0.230196531579767*(8350/2783.333)</f>
        <v>0.69058967744465061</v>
      </c>
      <c r="D293" s="2">
        <f>0.172524725533637*(8350/2783.333)</f>
        <v>0.51757423858585039</v>
      </c>
      <c r="E293" s="2">
        <f>0.202919505296385*(8350/2783.333)</f>
        <v>0.60875858879437461</v>
      </c>
      <c r="F293" s="2">
        <f>0.189820219727223*(8350/2783.333)</f>
        <v>0.56946072738055842</v>
      </c>
      <c r="G293" s="2">
        <f>0.22458168614998*(8350/2783.333)</f>
        <v>0.67374513913798173</v>
      </c>
      <c r="H293" s="2">
        <f>0.231108913367751*(8350/2783.333)</f>
        <v>0.69332682313640603</v>
      </c>
      <c r="I293" s="2">
        <f>0.227867713376489*(8350/2783.333)</f>
        <v>0.68360322199811752</v>
      </c>
      <c r="J293" s="2">
        <f>0.188945506707967*(8350/2783.333)</f>
        <v>0.56683658800852199</v>
      </c>
      <c r="K293" s="2">
        <f>0.259794905826577*(8350/2783.333)</f>
        <v>0.77938481081922872</v>
      </c>
      <c r="L293" s="2">
        <f>0.262113907331871*(8350/2783.333)</f>
        <v>0.78634181616828613</v>
      </c>
      <c r="M293" s="2">
        <f>0.371826439124625*(8350/2783.333)</f>
        <v>1.1154794509642294</v>
      </c>
      <c r="N293" s="2">
        <f>0.350262642056874*(8350/2783.333)</f>
        <v>1.0507880520135027</v>
      </c>
      <c r="O293" s="2">
        <f>0.473237334598461*(8350/2783.333)</f>
        <v>1.4197121738207938</v>
      </c>
      <c r="P293" s="2">
        <f>0.344854362993812*(8350/2783.333)</f>
        <v>1.0345632128812212</v>
      </c>
      <c r="Q293" s="2">
        <f>0.858421640643473*(8350/2783.333)</f>
        <v>2.5752652303454182</v>
      </c>
      <c r="R293" s="2">
        <f>0.594003587722283*(8350/2783.333)</f>
        <v>1.7820109765813366</v>
      </c>
      <c r="S293" s="2">
        <f>0.285975531600937*(8350/2783.333)</f>
        <v>0.85792669754852335</v>
      </c>
      <c r="T293" s="2">
        <f t="shared" si="69"/>
        <v>0.10069243236843764</v>
      </c>
      <c r="U293" s="2">
        <f t="shared" si="70"/>
        <v>0.11437794326585224</v>
      </c>
      <c r="V293" s="2">
        <f t="shared" si="71"/>
        <v>0.11043877033537902</v>
      </c>
      <c r="W293" s="2">
        <f t="shared" si="72"/>
        <v>0.10705744606724045</v>
      </c>
      <c r="X293" s="2">
        <f t="shared" si="73"/>
        <v>0.11728533803050227</v>
      </c>
      <c r="Y293" s="2">
        <f t="shared" si="74"/>
        <v>0.10928020503416074</v>
      </c>
      <c r="Z293" s="2">
        <f t="shared" si="75"/>
        <v>0.10579568013572224</v>
      </c>
      <c r="AA293" s="2">
        <f t="shared" si="76"/>
        <v>0.11798772791544039</v>
      </c>
      <c r="AB293" s="2">
        <f t="shared" si="77"/>
        <v>0.10026757173055721</v>
      </c>
      <c r="AC293" s="2">
        <f t="shared" si="78"/>
        <v>0.1151901624778385</v>
      </c>
      <c r="AD293" s="2">
        <f t="shared" si="79"/>
        <v>0.10227444344259566</v>
      </c>
      <c r="AE293" s="2">
        <f t="shared" si="80"/>
        <v>0.10987695088187602</v>
      </c>
      <c r="AF293" s="2">
        <f t="shared" si="81"/>
        <v>0.11908712371493149</v>
      </c>
      <c r="AG293" s="2">
        <f t="shared" si="82"/>
        <v>9.9235315312320327E-2</v>
      </c>
      <c r="AH293" s="2">
        <f t="shared" si="83"/>
        <v>0.1199891551819615</v>
      </c>
      <c r="AI293" s="2">
        <f t="shared" si="84"/>
        <v>0.10099811712417744</v>
      </c>
      <c r="AJ293" s="2">
        <f>0.163578090960869*(8350/2783.333)</f>
        <v>0.49073433165318592</v>
      </c>
      <c r="AK293" s="2">
        <f>0.197252338090509*(8350/2783.333)</f>
        <v>0.59175708514063985</v>
      </c>
      <c r="AL293" s="2">
        <f>0.210112436798066*(8350/2783.333)</f>
        <v>0.63033738588370614</v>
      </c>
      <c r="AM293" s="2">
        <f>0.145085891690965*(8350/2783.333)</f>
        <v>0.43525772719956773</v>
      </c>
      <c r="AN293" s="2">
        <f>0.1757741228073*(8350/2783.333)</f>
        <v>0.52732243157428782</v>
      </c>
      <c r="AO293" s="2">
        <f>0.107154144629907*(8350/2783.333)</f>
        <v>0.32146247238822007</v>
      </c>
      <c r="AP293" s="2">
        <f>0.258374125131271*(8350/2783.333)</f>
        <v>0.77512246822285191</v>
      </c>
      <c r="AQ293" s="2">
        <f>0.15956968620849*(8350/2783.333)</f>
        <v>0.47870911595590304</v>
      </c>
      <c r="AR293" s="2">
        <f>0.389239408026523*(8350/2783.333)</f>
        <v>1.16771836392608</v>
      </c>
      <c r="AS293" s="2">
        <f>0.200657557715796*(8350/2783.333)</f>
        <v>0.60197274523993383</v>
      </c>
      <c r="AT293" s="2">
        <f>0.189690474251582*(8350/2783.333)</f>
        <v>0.56907149090701981</v>
      </c>
      <c r="AU293" s="2">
        <f>0.0925517117611996*(8350/2783.333)</f>
        <v>0.27765516853571465</v>
      </c>
      <c r="AV293" s="2">
        <f>0.0791516152170846*(8350/2783.333)</f>
        <v>0.23745487408896326</v>
      </c>
      <c r="AW293" s="2">
        <f>0.0845558640366628*(8350/2783.333)</f>
        <v>0.25366762248934438</v>
      </c>
    </row>
    <row r="294" spans="1:49" x14ac:dyDescent="0.25">
      <c r="A294" s="5">
        <v>45916</v>
      </c>
      <c r="B294" s="2">
        <f>0.232079074057941*(8350/2783.333)</f>
        <v>0.69623730555553498</v>
      </c>
      <c r="C294" s="2">
        <f>0.236444036612203*(8350/2783.333)</f>
        <v>0.70933219478657272</v>
      </c>
      <c r="D294" s="2">
        <f>0.181131401183841*(8350/2783.333)</f>
        <v>0.54339426862868179</v>
      </c>
      <c r="E294" s="2">
        <f>0.22376739967615*(8350/2783.333)</f>
        <v>0.6713022794239335</v>
      </c>
      <c r="F294" s="2">
        <f>0.192163679230028*(8350/2783.333)</f>
        <v>0.57649110673093573</v>
      </c>
      <c r="G294" s="2">
        <f>0.217000869739855*(8350/2783.333)</f>
        <v>0.65100268718395771</v>
      </c>
      <c r="H294" s="2">
        <f>0.204846536848689*(8350/2783.333)</f>
        <v>0.61453968414363269</v>
      </c>
      <c r="I294" s="2">
        <f>0.230663636240004*(8350/2783.333)</f>
        <v>0.69199099159318611</v>
      </c>
      <c r="J294" s="2">
        <f>0.195283301482238*(8350/2783.333)</f>
        <v>0.58584997460838817</v>
      </c>
      <c r="K294" s="2">
        <f>0.251938205045531*(8350/2783.333)</f>
        <v>0.7558147056533242</v>
      </c>
      <c r="L294" s="2">
        <f>0.240063054810301*(8350/2783.333)</f>
        <v>0.72018925068111261</v>
      </c>
      <c r="M294" s="2">
        <f>0.266534355059714*(8350/2783.333)</f>
        <v>0.7996031609399985</v>
      </c>
      <c r="N294" s="2">
        <f>0.290375216193382*(8350/2783.333)</f>
        <v>0.87112575290658201</v>
      </c>
      <c r="O294" s="2">
        <f>0.570889483007668*(8350/2783.333)</f>
        <v>1.7126686541330214</v>
      </c>
      <c r="P294" s="2">
        <f>0.706089308229829*(8350/2783.333)</f>
        <v>2.1182681783742994</v>
      </c>
      <c r="Q294" s="2">
        <f>0.210360467981862*(8350/2783.333)</f>
        <v>0.63108147952420657</v>
      </c>
      <c r="R294" s="2">
        <f>0.125425569587976*(8350/2783.333)</f>
        <v>0.37627675382701142</v>
      </c>
      <c r="S294" s="2">
        <f>0.164405114341702*(8350/2783.333)</f>
        <v>0.49321540209281972</v>
      </c>
      <c r="T294" s="2">
        <f t="shared" si="69"/>
        <v>0.10069243236843764</v>
      </c>
      <c r="U294" s="2">
        <f t="shared" si="70"/>
        <v>0.11437794326585224</v>
      </c>
      <c r="V294" s="2">
        <f t="shared" si="71"/>
        <v>0.11043877033537902</v>
      </c>
      <c r="W294" s="2">
        <f t="shared" si="72"/>
        <v>0.10705744606724045</v>
      </c>
      <c r="X294" s="2">
        <f t="shared" si="73"/>
        <v>0.11728533803050227</v>
      </c>
      <c r="Y294" s="2">
        <f t="shared" si="74"/>
        <v>0.10928020503416074</v>
      </c>
      <c r="Z294" s="2">
        <f t="shared" si="75"/>
        <v>0.10579568013572224</v>
      </c>
      <c r="AA294" s="2">
        <f t="shared" si="76"/>
        <v>0.11798772791544039</v>
      </c>
      <c r="AB294" s="2">
        <f t="shared" si="77"/>
        <v>0.10026757173055721</v>
      </c>
      <c r="AC294" s="2">
        <f t="shared" si="78"/>
        <v>0.1151901624778385</v>
      </c>
      <c r="AD294" s="2">
        <f t="shared" si="79"/>
        <v>0.10227444344259566</v>
      </c>
      <c r="AE294" s="2">
        <f t="shared" si="80"/>
        <v>0.10987695088187602</v>
      </c>
      <c r="AF294" s="2">
        <f t="shared" si="81"/>
        <v>0.11908712371493149</v>
      </c>
      <c r="AG294" s="2">
        <f t="shared" si="82"/>
        <v>9.9235315312320327E-2</v>
      </c>
      <c r="AH294" s="2">
        <f t="shared" si="83"/>
        <v>0.1199891551819615</v>
      </c>
      <c r="AI294" s="2">
        <f t="shared" si="84"/>
        <v>0.10099811712417744</v>
      </c>
      <c r="AJ294" s="2">
        <f>0.0335039463413829*(8350/2783.333)</f>
        <v>0.10051185106149599</v>
      </c>
      <c r="AK294" s="2">
        <f>0.0461654408296937*(8350/2783.333)</f>
        <v>0.13849633907546893</v>
      </c>
      <c r="AL294" s="2">
        <f>0.0525999670780385*(8350/2783.333)</f>
        <v>0.15779992013230942</v>
      </c>
      <c r="AM294" s="2">
        <f>0.142772449226644*(8350/2783.333)</f>
        <v>0.42831739897542859</v>
      </c>
      <c r="AN294" s="2">
        <f>0.218941266040895*(8350/2783.333)</f>
        <v>0.65682387678422804</v>
      </c>
      <c r="AO294" s="2">
        <f>0.104915548293627*(8350/2783.333)</f>
        <v>0.31474668257509597</v>
      </c>
      <c r="AP294" s="2">
        <f>0.12094107984868*(8350/2783.333)</f>
        <v>0.36282328299793049</v>
      </c>
      <c r="AQ294" s="2">
        <f>0.140089310503632*(8350/2783.333)</f>
        <v>0.42026798184239056</v>
      </c>
      <c r="AR294" s="2">
        <f>0.220835786677238*(8350/2783.333)</f>
        <v>0.66250743937392376</v>
      </c>
      <c r="AS294" s="2">
        <f>0.132967788646605*(8350/2783.333)</f>
        <v>0.3989034137126804</v>
      </c>
      <c r="AT294" s="2">
        <f>0.176410501551168*(8350/2783.333)</f>
        <v>0.52923156803453131</v>
      </c>
      <c r="AU294" s="2">
        <f>0.0870782234312361*(8350/2783.333)</f>
        <v>0.2612347015793014</v>
      </c>
      <c r="AV294" s="2">
        <f>0.082869107908298*(8350/2783.333)</f>
        <v>0.24860735349822968</v>
      </c>
      <c r="AW294" s="2">
        <f>0.075540716768048*(8350/2783.333)</f>
        <v>0.22662217744452456</v>
      </c>
    </row>
    <row r="295" spans="1:49" x14ac:dyDescent="0.25">
      <c r="A295" s="5">
        <v>45917</v>
      </c>
      <c r="B295" s="2">
        <f>0.215268517385735*(8350/2783.333)</f>
        <v>0.64580562949919806</v>
      </c>
      <c r="C295" s="2">
        <f>0.206167666070397*(8350/2783.333)</f>
        <v>0.61850307228341428</v>
      </c>
      <c r="D295" s="2">
        <f>0.192085352011374*(8350/2783.333)</f>
        <v>0.57625612504683121</v>
      </c>
      <c r="E295" s="2">
        <f>0.226083832385013*(8350/2783.333)</f>
        <v>0.67825157838277317</v>
      </c>
      <c r="F295" s="2">
        <f>0.194116562149033*(8350/2783.333)</f>
        <v>0.58234975618958362</v>
      </c>
      <c r="G295" s="2">
        <f>0.243059926149662*(8350/2783.333)</f>
        <v>0.72917986577591687</v>
      </c>
      <c r="H295" s="2">
        <f>0.229198922348183*(8350/2783.333)</f>
        <v>0.68759684939147736</v>
      </c>
      <c r="I295" s="2">
        <f>0.233925546247439*(8350/2783.333)</f>
        <v>0.70177672278743319</v>
      </c>
      <c r="J295" s="2">
        <f>0.202017208429902*(8350/2783.333)</f>
        <v>0.60605169787074642</v>
      </c>
      <c r="K295" s="2">
        <f>0.242510164108276*(8350/2783.333)</f>
        <v>0.72753057945423982</v>
      </c>
      <c r="L295" s="2">
        <f>0.258369422941416*(8350/2783.333)</f>
        <v>0.77510836165159569</v>
      </c>
      <c r="M295" s="2">
        <f>0.381959150143424*(8350/2783.333)</f>
        <v>1.1458775876611214</v>
      </c>
      <c r="N295" s="2">
        <f>0.537410847880288*(8350/2783.333)</f>
        <v>1.6122327367226292</v>
      </c>
      <c r="O295" s="2">
        <f>0.29746346746189*(8350/2783.333)</f>
        <v>0.89239050925878527</v>
      </c>
      <c r="P295" s="2">
        <f>0.861704839530787*(8350/2783.333)</f>
        <v>2.5851148281869514</v>
      </c>
      <c r="Q295" s="2">
        <f>0.681549049851549*(8350/2783.333)</f>
        <v>2.0446473944225985</v>
      </c>
      <c r="R295" s="2">
        <f>0.404190411194486*(8350/2783.333)</f>
        <v>1.2125713788015862</v>
      </c>
      <c r="S295" s="2">
        <f>0.174112257925139*(8350/2783.333)</f>
        <v>0.52233683633072758</v>
      </c>
      <c r="T295" s="2">
        <f t="shared" si="69"/>
        <v>0.10069243236843764</v>
      </c>
      <c r="U295" s="2">
        <f t="shared" si="70"/>
        <v>0.11437794326585224</v>
      </c>
      <c r="V295" s="2">
        <f t="shared" si="71"/>
        <v>0.11043877033537902</v>
      </c>
      <c r="W295" s="2">
        <f t="shared" si="72"/>
        <v>0.10705744606724045</v>
      </c>
      <c r="X295" s="2">
        <f t="shared" si="73"/>
        <v>0.11728533803050227</v>
      </c>
      <c r="Y295" s="2">
        <f t="shared" si="74"/>
        <v>0.10928020503416074</v>
      </c>
      <c r="Z295" s="2">
        <f t="shared" si="75"/>
        <v>0.10579568013572224</v>
      </c>
      <c r="AA295" s="2">
        <f t="shared" si="76"/>
        <v>0.11798772791544039</v>
      </c>
      <c r="AB295" s="2">
        <f t="shared" si="77"/>
        <v>0.10026757173055721</v>
      </c>
      <c r="AC295" s="2">
        <f t="shared" si="78"/>
        <v>0.1151901624778385</v>
      </c>
      <c r="AD295" s="2">
        <f t="shared" si="79"/>
        <v>0.10227444344259566</v>
      </c>
      <c r="AE295" s="2">
        <f t="shared" si="80"/>
        <v>0.10987695088187602</v>
      </c>
      <c r="AF295" s="2">
        <f t="shared" si="81"/>
        <v>0.11908712371493149</v>
      </c>
      <c r="AG295" s="2">
        <f t="shared" si="82"/>
        <v>9.9235315312320327E-2</v>
      </c>
      <c r="AH295" s="2">
        <f t="shared" si="83"/>
        <v>0.1199891551819615</v>
      </c>
      <c r="AI295" s="2">
        <f t="shared" si="84"/>
        <v>0.10099811712417744</v>
      </c>
      <c r="AJ295" s="2">
        <f>0.0777716039508118*(8350/2783.333)</f>
        <v>0.23331483979433226</v>
      </c>
      <c r="AK295" s="2">
        <f>0.0662504053465084*(8350/2783.333)</f>
        <v>0.19875123984206902</v>
      </c>
      <c r="AL295" s="2">
        <f>0.0957146941911847*(8350/2783.333)</f>
        <v>0.28714411696207115</v>
      </c>
      <c r="AM295" s="2">
        <f>0.0746911424194943*(8350/2783.333)</f>
        <v>0.22407345409362719</v>
      </c>
      <c r="AN295" s="2">
        <f>0.135091419472042*(8350/2783.333)</f>
        <v>0.40527430695197025</v>
      </c>
      <c r="AO295" s="2">
        <f>0.101781513422836*(8350/2783.333)</f>
        <v>0.30534457683672167</v>
      </c>
      <c r="AP295" s="2">
        <f>0.158256233961772*(8350/2783.333)</f>
        <v>0.47476875874384877</v>
      </c>
      <c r="AQ295" s="2">
        <f>0.144493569358643*(8350/2783.333)</f>
        <v>0.43348075998979335</v>
      </c>
      <c r="AR295" s="2">
        <f>0.164646799534509*(8350/2783.333)</f>
        <v>0.4939404577580731</v>
      </c>
      <c r="AS295" s="2">
        <f>0.159979382954501*(8350/2783.333)</f>
        <v>0.4799382063411331</v>
      </c>
      <c r="AT295" s="2">
        <f>0.137226384570937*(8350/2783.333)</f>
        <v>0.41167920301570865</v>
      </c>
      <c r="AU295" s="2">
        <f>0.107479407206554*(8350/2783.333)</f>
        <v>0.32243826023502342</v>
      </c>
      <c r="AV295" s="2">
        <f>0.103625108767573*(8350/2783.333)</f>
        <v>0.31087536353330025</v>
      </c>
      <c r="AW295" s="2">
        <f>0.0786493882399841*(8350/2783.333)</f>
        <v>0.23594819297722106</v>
      </c>
    </row>
    <row r="296" spans="1:49" x14ac:dyDescent="0.25">
      <c r="A296" s="5">
        <v>45918</v>
      </c>
      <c r="B296" s="2">
        <f>0.224140755629399*(8350/2783.333)</f>
        <v>0.67242234741782059</v>
      </c>
      <c r="C296" s="2">
        <f>0.230196531579767*(8350/2783.333)</f>
        <v>0.69058967744465061</v>
      </c>
      <c r="D296" s="2">
        <f>0.217905378961986*(8350/2783.333)</f>
        <v>0.6537162151753263</v>
      </c>
      <c r="E296" s="2">
        <f>0.23627613630401*(8350/2783.333)</f>
        <v>0.70882849380166879</v>
      </c>
      <c r="F296" s="2">
        <f>0.189429643143422*(8350/2783.333)</f>
        <v>0.56828899748882888</v>
      </c>
      <c r="G296" s="2">
        <f>0.210841456406627*(8350/2783.333)</f>
        <v>0.63252444497131211</v>
      </c>
      <c r="H296" s="2">
        <f>0.217738976230774*(8350/2783.333)</f>
        <v>0.65321700692190299</v>
      </c>
      <c r="I296" s="2">
        <f>0.226469751944732*(8350/2783.333)</f>
        <v>0.67940933720058305</v>
      </c>
      <c r="J296" s="2">
        <f>0.194094964962062*(8350/2783.333)</f>
        <v>0.5822849646209135</v>
      </c>
      <c r="K296" s="2">
        <f>0.257699785618298*(8350/2783.333)</f>
        <v>0.77309944944165421</v>
      </c>
      <c r="L296" s="2">
        <f>0.255040992372122*(8350/2783.333)</f>
        <v>0.7651230687478715</v>
      </c>
      <c r="M296" s="2">
        <f>0.263450486488775*(8350/2783.333)</f>
        <v>0.7903515541192051</v>
      </c>
      <c r="N296" s="2">
        <f>0.18045027003605*(8350/2783.333)</f>
        <v>0.5413508749405892</v>
      </c>
      <c r="O296" s="2">
        <f>0.214459141314065*(8350/2783.333)</f>
        <v>0.64337750099339186</v>
      </c>
      <c r="P296" s="2">
        <f>0.450466011660666*(8350/2783.333)</f>
        <v>1.3513981968260946</v>
      </c>
      <c r="Q296" s="2">
        <f>0.237245101782235*(8350/2783.333)</f>
        <v>0.71173539058447544</v>
      </c>
      <c r="R296" s="2">
        <f>0.717940426513962*(8350/2783.333)</f>
        <v>2.1538215374845855</v>
      </c>
      <c r="S296" s="2">
        <f>0.201538790589453*(8350/2783.333)</f>
        <v>0.60461644417751481</v>
      </c>
      <c r="T296" s="2">
        <f t="shared" si="69"/>
        <v>0.10069243236843764</v>
      </c>
      <c r="U296" s="2">
        <f t="shared" si="70"/>
        <v>0.11437794326585224</v>
      </c>
      <c r="V296" s="2">
        <f t="shared" si="71"/>
        <v>0.11043877033537902</v>
      </c>
      <c r="W296" s="2">
        <f t="shared" si="72"/>
        <v>0.10705744606724045</v>
      </c>
      <c r="X296" s="2">
        <f t="shared" si="73"/>
        <v>0.11728533803050227</v>
      </c>
      <c r="Y296" s="2">
        <f t="shared" si="74"/>
        <v>0.10928020503416074</v>
      </c>
      <c r="Z296" s="2">
        <f t="shared" si="75"/>
        <v>0.10579568013572224</v>
      </c>
      <c r="AA296" s="2">
        <f t="shared" si="76"/>
        <v>0.11798772791544039</v>
      </c>
      <c r="AB296" s="2">
        <f t="shared" si="77"/>
        <v>0.10026757173055721</v>
      </c>
      <c r="AC296" s="2">
        <f t="shared" si="78"/>
        <v>0.1151901624778385</v>
      </c>
      <c r="AD296" s="2">
        <f t="shared" si="79"/>
        <v>0.10227444344259566</v>
      </c>
      <c r="AE296" s="2">
        <f t="shared" si="80"/>
        <v>0.10987695088187602</v>
      </c>
      <c r="AF296" s="2">
        <f t="shared" si="81"/>
        <v>0.11908712371493149</v>
      </c>
      <c r="AG296" s="2">
        <f t="shared" si="82"/>
        <v>9.9235315312320327E-2</v>
      </c>
      <c r="AH296" s="2">
        <f t="shared" si="83"/>
        <v>0.1199891551819615</v>
      </c>
      <c r="AI296" s="2">
        <f t="shared" si="84"/>
        <v>0.10099811712417744</v>
      </c>
      <c r="AJ296" s="2">
        <f>0.105363089173127*(8350/2783.333)</f>
        <v>0.31608930537438762</v>
      </c>
      <c r="AK296" s="2">
        <f>0.151986224030225*(8350/2783.333)</f>
        <v>0.45595872669651144</v>
      </c>
      <c r="AL296" s="2">
        <f>0.2790960001791*(8350/2783.333)</f>
        <v>0.83728810081132465</v>
      </c>
      <c r="AM296" s="2">
        <f>0.459053083277335*(8350/2783.333)</f>
        <v>1.3771594147612753</v>
      </c>
      <c r="AN296" s="2">
        <f>0.372355429763168*(8350/2783.333)</f>
        <v>1.1170664230699137</v>
      </c>
      <c r="AO296" s="2">
        <f>0.182072502017391*(8350/2783.333)</f>
        <v>0.54621757146744954</v>
      </c>
      <c r="AP296" s="2">
        <f>0.229055075470985*(8350/2783.333)</f>
        <v>0.68716530870820269</v>
      </c>
      <c r="AQ296" s="2">
        <f>0.200393777903019*(8350/2783.333)</f>
        <v>0.60118140570682954</v>
      </c>
      <c r="AR296" s="2">
        <f>0.180327447109224*(8350/2783.333)</f>
        <v>0.54098240611598469</v>
      </c>
      <c r="AS296" s="2">
        <f>0.236512233493539*(8350/2783.333)</f>
        <v>0.70953678545508259</v>
      </c>
      <c r="AT296" s="2">
        <f>0.338229428159907*(8350/2783.333)</f>
        <v>1.014688405999292</v>
      </c>
      <c r="AU296" s="2">
        <f>0.223251978549417*(8350/2783.333)</f>
        <v>0.66975601585855193</v>
      </c>
      <c r="AV296" s="2">
        <f>0.151332931638144*(8350/2783.333)</f>
        <v>0.45399884928555229</v>
      </c>
      <c r="AW296" s="2">
        <f>0.132118537557286*(8350/2783.333)</f>
        <v>0.3963556601396005</v>
      </c>
    </row>
    <row r="297" spans="1:49" x14ac:dyDescent="0.25">
      <c r="A297" s="5">
        <v>45919</v>
      </c>
      <c r="B297" s="2">
        <f>0.369832246788509*(8350/2783.333)</f>
        <v>1.1094968732394035</v>
      </c>
      <c r="C297" s="2">
        <f>0.358030096089616*(8350/2783.333)</f>
        <v>1.0740904169024317</v>
      </c>
      <c r="D297" s="2">
        <f>0.28597635910451*(8350/2783.333)</f>
        <v>0.85792918005953867</v>
      </c>
      <c r="E297" s="2">
        <f>0.327080298491433*(8350/2783.333)</f>
        <v>0.98124101298819211</v>
      </c>
      <c r="F297" s="2">
        <f>0.275356491579613*(8350/2783.333)</f>
        <v>0.82606957366932798</v>
      </c>
      <c r="G297" s="2">
        <f>0.336398728199338*(8350/2783.333)</f>
        <v>1.0091963054598461</v>
      </c>
      <c r="H297" s="2">
        <f>0.330905944140189*(8350/2783.333)</f>
        <v>0.99271795130894469</v>
      </c>
      <c r="I297" s="2">
        <f>0.327588962175198*(8350/2783.333)</f>
        <v>0.98276700422224206</v>
      </c>
      <c r="J297" s="2">
        <f>0.24400509880945*(8350/2783.333)</f>
        <v>0.73201538409486244</v>
      </c>
      <c r="K297" s="2">
        <f>0.234653463327231*(8350/2783.333)</f>
        <v>0.70396047428833541</v>
      </c>
      <c r="L297" s="2">
        <f>0.260449692047224*(8350/2783.333)</f>
        <v>0.78134916971642343</v>
      </c>
      <c r="M297" s="2">
        <f>0.402224572181022*(8350/2783.333)</f>
        <v>1.2066738610549068</v>
      </c>
      <c r="N297" s="2">
        <f>0.213939948972871*(8350/2783.333)</f>
        <v>0.64181992378327579</v>
      </c>
      <c r="O297" s="2">
        <f>0.339153423128897*(8350/2783.333)</f>
        <v>1.0174603912382354</v>
      </c>
      <c r="P297" s="2">
        <f>0.802217461914354*(8350/2783.333)</f>
        <v>2.4066526739649401</v>
      </c>
      <c r="Q297" s="2">
        <f>0.39855290458447*(8350/2783.333)</f>
        <v>1.1956588569460869</v>
      </c>
      <c r="R297" s="2">
        <f>0.774512196773227*(8350/2783.333)</f>
        <v>2.3235368685875701</v>
      </c>
      <c r="S297" s="2">
        <f>0.211091852528709*(8350/2783.333)</f>
        <v>0.63327563342751991</v>
      </c>
      <c r="T297" s="2">
        <f t="shared" si="69"/>
        <v>0.10069243236843764</v>
      </c>
      <c r="U297" s="2">
        <f t="shared" si="70"/>
        <v>0.11437794326585224</v>
      </c>
      <c r="V297" s="2">
        <f t="shared" si="71"/>
        <v>0.11043877033537902</v>
      </c>
      <c r="W297" s="2">
        <f t="shared" si="72"/>
        <v>0.10705744606724045</v>
      </c>
      <c r="X297" s="2">
        <f t="shared" si="73"/>
        <v>0.11728533803050227</v>
      </c>
      <c r="Y297" s="2">
        <f t="shared" si="74"/>
        <v>0.10928020503416074</v>
      </c>
      <c r="Z297" s="2">
        <f t="shared" si="75"/>
        <v>0.10579568013572224</v>
      </c>
      <c r="AA297" s="2">
        <f t="shared" si="76"/>
        <v>0.11798772791544039</v>
      </c>
      <c r="AB297" s="2">
        <f t="shared" si="77"/>
        <v>0.10026757173055721</v>
      </c>
      <c r="AC297" s="2">
        <f t="shared" si="78"/>
        <v>0.1151901624778385</v>
      </c>
      <c r="AD297" s="2">
        <f t="shared" si="79"/>
        <v>0.10227444344259566</v>
      </c>
      <c r="AE297" s="2">
        <f t="shared" si="80"/>
        <v>0.10987695088187602</v>
      </c>
      <c r="AF297" s="2">
        <f t="shared" si="81"/>
        <v>0.11908712371493149</v>
      </c>
      <c r="AG297" s="2">
        <f t="shared" si="82"/>
        <v>9.9235315312320327E-2</v>
      </c>
      <c r="AH297" s="2">
        <f t="shared" si="83"/>
        <v>0.1199891551819615</v>
      </c>
      <c r="AI297" s="2">
        <f t="shared" si="84"/>
        <v>0.10099811712417744</v>
      </c>
      <c r="AJ297" s="2">
        <f>0.147963129543845*(8350/2783.333)</f>
        <v>0.443889441791946</v>
      </c>
      <c r="AK297" s="2">
        <f>0.247015085997841*(8350/2783.333)</f>
        <v>0.74104534674146982</v>
      </c>
      <c r="AL297" s="2">
        <f>0.257538636622527*(8350/2783.333)</f>
        <v>0.77261600239644379</v>
      </c>
      <c r="AM297" s="2">
        <f>0.153348186206395*(8350/2783.333)</f>
        <v>0.46004461371434952</v>
      </c>
      <c r="AN297" s="2">
        <f>0.297201122838492*(8350/2783.333)</f>
        <v>0.89160347529433526</v>
      </c>
      <c r="AO297" s="2">
        <f>0.14088232942985*(8350/2783.333)</f>
        <v>0.422647038905961</v>
      </c>
      <c r="AP297" s="2">
        <f>0.135767190188257*(8350/2783.333)</f>
        <v>0.40730161934340681</v>
      </c>
      <c r="AQ297" s="2">
        <f>0.140258705074979*(8350/2783.333)</f>
        <v>0.4207761656172907</v>
      </c>
      <c r="AR297" s="2">
        <f>0.12985536272811*(8350/2783.333)</f>
        <v>0.3895661348389563</v>
      </c>
      <c r="AS297" s="2">
        <f>0.233457350803956*(8350/2783.333)</f>
        <v>0.7003721362887696</v>
      </c>
      <c r="AT297" s="2">
        <f>0.159851523245715*(8350/2783.333)</f>
        <v>0.47955462716883651</v>
      </c>
      <c r="AU297" s="2">
        <f>0.161384974092558*(8350/2783.333)</f>
        <v>0.48415498026030512</v>
      </c>
      <c r="AV297" s="2">
        <f>0.0712519432482562*(8350/2783.333)</f>
        <v>0.21375585534427222</v>
      </c>
      <c r="AW297" s="2">
        <f>0.0753852831944512*(8350/2783.333)</f>
        <v>0.22615587666788972</v>
      </c>
    </row>
    <row r="298" spans="1:49" x14ac:dyDescent="0.25">
      <c r="A298" s="5">
        <v>45920</v>
      </c>
      <c r="B298" s="2">
        <f>0.227409474982328*(8350/2783.333)</f>
        <v>0.6822285066509971</v>
      </c>
      <c r="C298" s="2">
        <f>0.235963459302016*(8350/2783.333)</f>
        <v>0.70789046268334765</v>
      </c>
      <c r="D298" s="2">
        <f>0.19834475248425*(8350/2783.333)</f>
        <v>0.59503432871434536</v>
      </c>
      <c r="E298" s="2">
        <f>0.225157259301468*(8350/2783.333)</f>
        <v>0.67547185879923732</v>
      </c>
      <c r="F298" s="2">
        <f>0.187086183640617*(8350/2783.333)</f>
        <v>0.56125861813845135</v>
      </c>
      <c r="G298" s="2">
        <f>0.232162502560106*(8350/2783.333)</f>
        <v>0.69648759109200642</v>
      </c>
      <c r="H298" s="2">
        <f>0.230631415612859*(8350/2783.333)</f>
        <v>0.69189432970017339</v>
      </c>
      <c r="I298" s="2">
        <f>0.22134389336162*(8350/2783.333)</f>
        <v>0.6640317596096228</v>
      </c>
      <c r="J298" s="2">
        <f>0.192906628441886*(8350/2783.333)</f>
        <v>0.5787199546334385</v>
      </c>
      <c r="K298" s="2">
        <f>0.255080885357949*(8350/2783.333)</f>
        <v>0.76524274771968637</v>
      </c>
      <c r="L298" s="2">
        <f>0.255040992372122*(8350/2783.333)</f>
        <v>0.7651230687478715</v>
      </c>
      <c r="M298" s="2">
        <f>0.265653249753731*(8350/2783.333)</f>
        <v>0.79695984470548542</v>
      </c>
      <c r="N298" s="2">
        <f>0.220637884760235*(8350/2783.333)</f>
        <v>0.66191373355181227</v>
      </c>
      <c r="O298" s="2">
        <f>0.476993186460354*(8350/2783.333)</f>
        <v>1.4309797307558796</v>
      </c>
      <c r="P298" s="2">
        <f>0.486244651821274*(8350/2783.333)</f>
        <v>1.4587341301625212</v>
      </c>
      <c r="Q298" s="2">
        <f>0.390063020226457*(8350/2783.333)</f>
        <v>1.1701892008217913</v>
      </c>
      <c r="R298" s="2">
        <f>0.67067322373155*(8350/2783.333)</f>
        <v>2.0120199121551181</v>
      </c>
      <c r="S298" s="2">
        <f>0.123419396989413*(8350/2783.333)</f>
        <v>0.37025823531054231</v>
      </c>
      <c r="T298" s="2">
        <f t="shared" si="69"/>
        <v>0.10069243236843764</v>
      </c>
      <c r="U298" s="2">
        <f t="shared" si="70"/>
        <v>0.11437794326585224</v>
      </c>
      <c r="V298" s="2">
        <f t="shared" si="71"/>
        <v>0.11043877033537902</v>
      </c>
      <c r="W298" s="2">
        <f t="shared" si="72"/>
        <v>0.10705744606724045</v>
      </c>
      <c r="X298" s="2">
        <f t="shared" si="73"/>
        <v>0.11728533803050227</v>
      </c>
      <c r="Y298" s="2">
        <f t="shared" si="74"/>
        <v>0.10928020503416074</v>
      </c>
      <c r="Z298" s="2">
        <f t="shared" si="75"/>
        <v>0.10579568013572224</v>
      </c>
      <c r="AA298" s="2">
        <f t="shared" si="76"/>
        <v>0.11798772791544039</v>
      </c>
      <c r="AB298" s="2">
        <f t="shared" si="77"/>
        <v>0.10026757173055721</v>
      </c>
      <c r="AC298" s="2">
        <f t="shared" si="78"/>
        <v>0.1151901624778385</v>
      </c>
      <c r="AD298" s="2">
        <f t="shared" si="79"/>
        <v>0.10227444344259566</v>
      </c>
      <c r="AE298" s="2">
        <f t="shared" si="80"/>
        <v>0.10987695088187602</v>
      </c>
      <c r="AF298" s="2">
        <f t="shared" si="81"/>
        <v>0.11908712371493149</v>
      </c>
      <c r="AG298" s="2">
        <f t="shared" si="82"/>
        <v>9.9235315312320327E-2</v>
      </c>
      <c r="AH298" s="2">
        <f t="shared" si="83"/>
        <v>0.1199891551819615</v>
      </c>
      <c r="AI298" s="2">
        <f t="shared" si="84"/>
        <v>0.10099811712417744</v>
      </c>
      <c r="AJ298" s="2">
        <f>0.0136441410440021*(8350/2783.333)</f>
        <v>4.0932428034093367E-2</v>
      </c>
      <c r="AK298" s="2">
        <f>0.0248813739536661*(8350/2783.333)</f>
        <v>7.4644130800415071E-2</v>
      </c>
      <c r="AL298" s="2">
        <f>0.100601029930675*(8350/2783.333)</f>
        <v>0.30180312593611075</v>
      </c>
      <c r="AM298" s="2">
        <f>0.167559332772936*(8350/2783.333)</f>
        <v>0.50267805851977421</v>
      </c>
      <c r="AN298" s="2">
        <f>0.186954102349814*(8350/2783.333)</f>
        <v>0.56086237421858898</v>
      </c>
      <c r="AO298" s="2">
        <f>0.111332857790962*(8350/2783.333)</f>
        <v>0.33399861337271908</v>
      </c>
      <c r="AP298" s="2">
        <f>0.123773033509049*(8350/2783.333)</f>
        <v>0.37131914499650504</v>
      </c>
      <c r="AQ298" s="2">
        <f>0.149406011927695*(8350/2783.333)</f>
        <v>0.44821808946189662</v>
      </c>
      <c r="AR298" s="2">
        <f>0.249420300485313*(8350/2783.333)</f>
        <v>0.74826099106803345</v>
      </c>
      <c r="AS298" s="2">
        <f>0.170430297418866*(8350/2783.333)</f>
        <v>0.51129095348904663</v>
      </c>
      <c r="AT298" s="2">
        <f>0.200183292187711*(8350/2783.333)</f>
        <v>0.60054994848528154</v>
      </c>
      <c r="AU298" s="2">
        <f>0.116436024473767*(8350/2783.333)</f>
        <v>0.34930811525460881</v>
      </c>
      <c r="AV298" s="2">
        <f>0.0985135563171542*(8350/2783.333)</f>
        <v>0.29554070434555901</v>
      </c>
      <c r="AW298" s="2">
        <f>0.0977677177923914*(8350/2783.333)</f>
        <v>0.29330318850330439</v>
      </c>
    </row>
    <row r="299" spans="1:49" x14ac:dyDescent="0.25">
      <c r="A299" s="5">
        <v>45921</v>
      </c>
      <c r="B299" s="2">
        <f>0.276440265276259*(8350/2783.333)</f>
        <v>0.8293208951486456</v>
      </c>
      <c r="C299" s="2">
        <f>0.229235376959392*(8350/2783.333)</f>
        <v>0.68770621323820125</v>
      </c>
      <c r="D299" s="2">
        <f>0.165874112531207*(8350/2783.333)</f>
        <v>0.49762239718911677</v>
      </c>
      <c r="E299" s="2">
        <f>0.215428241924244*(8350/2783.333)</f>
        <v>0.6462848031721099</v>
      </c>
      <c r="F299" s="2">
        <f>0.192554255813829*(8350/2783.333)</f>
        <v>0.57766283662266504</v>
      </c>
      <c r="G299" s="2">
        <f>0.232636303585739*(8350/2783.333)</f>
        <v>0.69790899433913345</v>
      </c>
      <c r="H299" s="2">
        <f>0.232063908877535*(8350/2783.333)</f>
        <v>0.6961918100088702</v>
      </c>
      <c r="I299" s="2">
        <f>0.21575204763459*(8350/2783.333)</f>
        <v>0.64725622041948561</v>
      </c>
      <c r="J299" s="2">
        <f>0.185776609320831*(8350/2783.333)</f>
        <v>0.55732989470858818</v>
      </c>
      <c r="K299" s="2">
        <f>0.258747345722437*(8350/2783.333)</f>
        <v>0.77624213013044085</v>
      </c>
      <c r="L299" s="2">
        <f>0.263362068795356*(8350/2783.333)</f>
        <v>0.79008630100718236</v>
      </c>
      <c r="M299" s="2">
        <f>0.268296565671678*(8350/2783.333)</f>
        <v>0.80488979340902267</v>
      </c>
      <c r="N299" s="2">
        <f>0.202514058512073*(8350/2783.333)</f>
        <v>0.60754224829577119</v>
      </c>
      <c r="O299" s="2">
        <f>0.183285570860356*(8350/2783.333)</f>
        <v>0.54985677843218062</v>
      </c>
      <c r="P299" s="2">
        <f>0.272866014718854*(8350/2783.333)</f>
        <v>0.81859814219226623</v>
      </c>
      <c r="Q299" s="2">
        <f>0.434399082984966*(8350/2783.333)</f>
        <v>1.303197405026445</v>
      </c>
      <c r="R299" s="2">
        <f>0.119098463703716*(8350/2783.333)</f>
        <v>0.35729543390102003</v>
      </c>
      <c r="S299" s="2">
        <f>0.171801033262416*(8350/2783.333)</f>
        <v>0.51540316151217813</v>
      </c>
      <c r="T299" s="2">
        <f t="shared" si="69"/>
        <v>0.10069243236843764</v>
      </c>
      <c r="U299" s="2">
        <f t="shared" si="70"/>
        <v>0.11437794326585224</v>
      </c>
      <c r="V299" s="2">
        <f t="shared" si="71"/>
        <v>0.11043877033537902</v>
      </c>
      <c r="W299" s="2">
        <f t="shared" si="72"/>
        <v>0.10705744606724045</v>
      </c>
      <c r="X299" s="2">
        <f t="shared" si="73"/>
        <v>0.11728533803050227</v>
      </c>
      <c r="Y299" s="2">
        <f t="shared" si="74"/>
        <v>0.10928020503416074</v>
      </c>
      <c r="Z299" s="2">
        <f t="shared" si="75"/>
        <v>0.10579568013572224</v>
      </c>
      <c r="AA299" s="2">
        <f t="shared" si="76"/>
        <v>0.11798772791544039</v>
      </c>
      <c r="AB299" s="2">
        <f t="shared" si="77"/>
        <v>0.10026757173055721</v>
      </c>
      <c r="AC299" s="2">
        <f t="shared" si="78"/>
        <v>0.1151901624778385</v>
      </c>
      <c r="AD299" s="2">
        <f t="shared" si="79"/>
        <v>0.10227444344259566</v>
      </c>
      <c r="AE299" s="2">
        <f t="shared" si="80"/>
        <v>0.10987695088187602</v>
      </c>
      <c r="AF299" s="2">
        <f t="shared" si="81"/>
        <v>0.11908712371493149</v>
      </c>
      <c r="AG299" s="2">
        <f t="shared" si="82"/>
        <v>9.9235315312320327E-2</v>
      </c>
      <c r="AH299" s="2">
        <f t="shared" si="83"/>
        <v>0.1199891551819615</v>
      </c>
      <c r="AI299" s="2">
        <f t="shared" si="84"/>
        <v>0.10099811712417744</v>
      </c>
      <c r="AJ299" s="2">
        <f>0.0131893363425353*(8350/2783.333)</f>
        <v>3.9568013766290273E-2</v>
      </c>
      <c r="AK299" s="2">
        <f>0.033574866057959*(8350/2783.333)</f>
        <v>0.1007246102367047</v>
      </c>
      <c r="AL299" s="2">
        <f>0.0721453100359981*(8350/2783.333)</f>
        <v>0.21643595602846807</v>
      </c>
      <c r="AM299" s="2">
        <f>0.163923923186147*(8350/2783.333)</f>
        <v>0.49177182845327044</v>
      </c>
      <c r="AN299" s="2">
        <f>0.219251821028187*(8350/2783.333)</f>
        <v>0.65775554185768104</v>
      </c>
      <c r="AO299" s="2">
        <f>0.12491367556439*(8350/2783.333)</f>
        <v>0.37474107157234054</v>
      </c>
      <c r="AP299" s="2">
        <f>0.121274250867547*(8350/2783.333)</f>
        <v>0.36382279617423369</v>
      </c>
      <c r="AQ299" s="2">
        <f>0.126707139367251*(8350/2783.333)</f>
        <v>0.3801214636252816</v>
      </c>
      <c r="AR299" s="2">
        <f>0.181470827661547*(8350/2783.333)</f>
        <v>0.54441254818374885</v>
      </c>
      <c r="AS299" s="2">
        <f>0.424307127253195*(8350/2783.333)</f>
        <v>1.2729215342052771</v>
      </c>
      <c r="AT299" s="2">
        <f>0.27822362558767*(8350/2783.333)</f>
        <v>0.83467097672360568</v>
      </c>
      <c r="AU299" s="2">
        <f>0.103996278269305*(8350/2783.333)</f>
        <v>0.31198887217185117</v>
      </c>
      <c r="AV299" s="2">
        <f>0.0916981530499297*(8350/2783.333)</f>
        <v>0.27509449209523729</v>
      </c>
      <c r="AW299" s="2">
        <f>0.0946590463204552*(8350/2783.333)</f>
        <v>0.28397717297060793</v>
      </c>
    </row>
    <row r="300" spans="1:49" x14ac:dyDescent="0.25">
      <c r="A300" s="5">
        <v>45922</v>
      </c>
      <c r="B300" s="2">
        <f>0.218070276831103*(8350/2783.333)</f>
        <v>0.65421090884192146</v>
      </c>
      <c r="C300" s="2">
        <f>0.222987871926956*(8350/2783.333)</f>
        <v>0.66896369589628002</v>
      </c>
      <c r="D300" s="2">
        <f>0.171742300474528*(8350/2783.333)</f>
        <v>0.51522696312741134</v>
      </c>
      <c r="E300" s="2">
        <f>0.215428241924244*(8350/2783.333)</f>
        <v>0.6462848031721099</v>
      </c>
      <c r="F300" s="2">
        <f>0.172634850039985*(8350/2783.333)</f>
        <v>0.51790461214445827</v>
      </c>
      <c r="G300" s="2">
        <f>0.205629645124666*(8350/2783.333)</f>
        <v>0.61688900925292034</v>
      </c>
      <c r="H300" s="2">
        <f>0.232063908877535*(8350/2783.333)</f>
        <v>0.6961918100088702</v>
      </c>
      <c r="I300" s="2">
        <f>0.201306446173095*(8350/2783.333)</f>
        <v>0.60391941084496292</v>
      </c>
      <c r="J300" s="2">
        <f>0.163990439784273*(8350/2783.333)</f>
        <v>0.49197137827154691</v>
      </c>
      <c r="K300" s="2">
        <f>0.252985765149671*(8350/2783.333)</f>
        <v>0.75895738634211185</v>
      </c>
      <c r="L300" s="2">
        <f>0.257121261477931*(8350/2783.333)</f>
        <v>0.77136387681269947</v>
      </c>
      <c r="M300" s="2">
        <f>0.424252204830585*(8350/2783.333)</f>
        <v>1.272756766917716</v>
      </c>
      <c r="N300" s="2">
        <f>0.265947450380641*(8350/2783.333)</f>
        <v>0.79784244669191728</v>
      </c>
      <c r="O300" s="2">
        <f>0.401500564036314*(8350/2783.333)</f>
        <v>1.2045018363606579</v>
      </c>
      <c r="P300" s="2">
        <f>0.370287372264605*(8350/2783.333)</f>
        <v>1.1108622498312106</v>
      </c>
      <c r="Q300" s="2">
        <f>0.626364801524468*(8350/2783.333)</f>
        <v>1.8790946296146784</v>
      </c>
      <c r="R300" s="2">
        <f>0.462623094949121*(8350/2783.333)</f>
        <v>1.3878694510592746</v>
      </c>
      <c r="S300" s="2">
        <f>0.074575515783865*(8350/2783.333)</f>
        <v>0.22372657414519673</v>
      </c>
      <c r="T300" s="2">
        <f t="shared" si="69"/>
        <v>0.10069243236843764</v>
      </c>
      <c r="U300" s="2">
        <f t="shared" si="70"/>
        <v>0.11437794326585224</v>
      </c>
      <c r="V300" s="2">
        <f t="shared" si="71"/>
        <v>0.11043877033537902</v>
      </c>
      <c r="W300" s="2">
        <f t="shared" si="72"/>
        <v>0.10705744606724045</v>
      </c>
      <c r="X300" s="2">
        <f t="shared" si="73"/>
        <v>0.11728533803050227</v>
      </c>
      <c r="Y300" s="2">
        <f t="shared" si="74"/>
        <v>0.10928020503416074</v>
      </c>
      <c r="Z300" s="2">
        <f t="shared" si="75"/>
        <v>0.10579568013572224</v>
      </c>
      <c r="AA300" s="2">
        <f t="shared" si="76"/>
        <v>0.11798772791544039</v>
      </c>
      <c r="AB300" s="2">
        <f t="shared" si="77"/>
        <v>0.10026757173055721</v>
      </c>
      <c r="AC300" s="2">
        <f t="shared" si="78"/>
        <v>0.1151901624778385</v>
      </c>
      <c r="AD300" s="2">
        <f t="shared" si="79"/>
        <v>0.10227444344259566</v>
      </c>
      <c r="AE300" s="2">
        <f t="shared" si="80"/>
        <v>0.10987695088187602</v>
      </c>
      <c r="AF300" s="2">
        <f t="shared" si="81"/>
        <v>0.11908712371493149</v>
      </c>
      <c r="AG300" s="2">
        <f t="shared" si="82"/>
        <v>9.9235315312320327E-2</v>
      </c>
      <c r="AH300" s="2">
        <f t="shared" si="83"/>
        <v>0.1199891551819615</v>
      </c>
      <c r="AI300" s="2">
        <f t="shared" si="84"/>
        <v>0.10099811712417744</v>
      </c>
      <c r="AJ300" s="2">
        <f>0.0351715635800942*(8350/2783.333)</f>
        <v>0.10551470337677407</v>
      </c>
      <c r="AK300" s="2">
        <f>0.161279267314125*(8350/2783.333)</f>
        <v>0.48383785988702799</v>
      </c>
      <c r="AL300" s="2">
        <f>0.211549594368504*(8350/2783.333)</f>
        <v>0.63464885911136426</v>
      </c>
      <c r="AM300" s="2">
        <f>0.161940972502443*(8350/2783.333)</f>
        <v>0.48582297568972277</v>
      </c>
      <c r="AN300" s="2">
        <f>0.185711882400646*(8350/2783.333)</f>
        <v>0.55713571392477768</v>
      </c>
      <c r="AO300" s="2">
        <f>0.107452624141411*(8350/2783.333)</f>
        <v>0.32235791102997025</v>
      </c>
      <c r="AP300" s="2">
        <f>0.14026499894296*(8350/2783.333)</f>
        <v>0.42079504722349559</v>
      </c>
      <c r="AQ300" s="2">
        <f>0.157536951352331*(8350/2783.333)</f>
        <v>0.47261091065710176</v>
      </c>
      <c r="AR300" s="2">
        <f>0.328476898674502*(8350/2783.333)</f>
        <v>0.98543081403917143</v>
      </c>
      <c r="AS300" s="2">
        <f>0.163034265644085*(8350/2783.333)</f>
        <v>0.48910285550744642</v>
      </c>
      <c r="AT300" s="2">
        <f>0.152473760634374*(8350/2783.333)</f>
        <v>0.45742133668412099</v>
      </c>
      <c r="AU300" s="2">
        <f>0.104328004834757*(8350/2783.333)</f>
        <v>0.3129840519873916</v>
      </c>
      <c r="AV300" s="2">
        <f>0.0944862725683397*(8350/2783.333)</f>
        <v>0.28345885165218709</v>
      </c>
      <c r="AW300" s="2">
        <f>0.0954362141884393*(8350/2783.333)</f>
        <v>0.28630867685378208</v>
      </c>
    </row>
    <row r="301" spans="1:49" x14ac:dyDescent="0.25">
      <c r="A301" s="5">
        <v>45923</v>
      </c>
      <c r="B301" s="2">
        <f>0.29184994222578*(8350/2783.333)</f>
        <v>0.87554993153362071</v>
      </c>
      <c r="C301" s="2">
        <f>0.275370798737383*(8350/2783.333)</f>
        <v>0.82611249514777652</v>
      </c>
      <c r="D301" s="2">
        <f>0.178392913476958*(8350/2783.333)</f>
        <v>0.53517880452414468</v>
      </c>
      <c r="E301" s="2">
        <f>0.230716697802739*(8350/2783.333)</f>
        <v>0.69215017630045306</v>
      </c>
      <c r="F301" s="2">
        <f>0.186305030473015*(8350/2783.333)</f>
        <v>0.55891515835499239</v>
      </c>
      <c r="G301" s="2">
        <f>0.216527068714222*(8350/2783.333)</f>
        <v>0.64958128393683046</v>
      </c>
      <c r="H301" s="2">
        <f>0.199594061544876*(8350/2783.333)</f>
        <v>0.5987822563450782</v>
      </c>
      <c r="I301" s="2">
        <f>0.223673829081217*(8350/2783.333)</f>
        <v>0.67102156760551424</v>
      </c>
      <c r="J301" s="2">
        <f>0.192906628441886*(8350/2783.333)</f>
        <v>0.5787199546334385</v>
      </c>
      <c r="K301" s="2">
        <f>0.250890644941392*(8350/2783.333)</f>
        <v>0.75267202496453733</v>
      </c>
      <c r="L301" s="2">
        <f>0.24963229269702*(8350/2783.333)</f>
        <v>0.74889696777931991</v>
      </c>
      <c r="M301" s="2">
        <f>0.270499328936635*(8350/2783.333)</f>
        <v>0.81149808399530399</v>
      </c>
      <c r="N301" s="2">
        <f>0.183208243595553*(8350/2783.333)</f>
        <v>0.54962479660998709</v>
      </c>
      <c r="O301" s="2">
        <f>0.218966163548336*(8350/2783.333)</f>
        <v>0.65689856931549473</v>
      </c>
      <c r="P301" s="2">
        <f>0.461673778457965*(8350/2783.333)</f>
        <v>1.385021501244734</v>
      </c>
      <c r="Q301" s="2">
        <f>0.357518463520743*(8350/2783.333)</f>
        <v>1.0725555190119926</v>
      </c>
      <c r="R301" s="2">
        <f>0.510262480430608*(8350/2783.333)</f>
        <v>1.5307876246196823</v>
      </c>
      <c r="S301" s="2">
        <f>0.302616349172543*(8350/2783.333)</f>
        <v>0.90784915624207951</v>
      </c>
      <c r="T301" s="2">
        <f t="shared" si="69"/>
        <v>0.10069243236843764</v>
      </c>
      <c r="U301" s="2">
        <f t="shared" si="70"/>
        <v>0.11437794326585224</v>
      </c>
      <c r="V301" s="2">
        <f t="shared" si="71"/>
        <v>0.11043877033537902</v>
      </c>
      <c r="W301" s="2">
        <f t="shared" si="72"/>
        <v>0.10705744606724045</v>
      </c>
      <c r="X301" s="2">
        <f t="shared" si="73"/>
        <v>0.11728533803050227</v>
      </c>
      <c r="Y301" s="2">
        <f t="shared" si="74"/>
        <v>0.10928020503416074</v>
      </c>
      <c r="Z301" s="2">
        <f t="shared" si="75"/>
        <v>0.10579568013572224</v>
      </c>
      <c r="AA301" s="2">
        <f t="shared" si="76"/>
        <v>0.11798772791544039</v>
      </c>
      <c r="AB301" s="2">
        <f t="shared" si="77"/>
        <v>0.10026757173055721</v>
      </c>
      <c r="AC301" s="2">
        <f t="shared" si="78"/>
        <v>0.1151901624778385</v>
      </c>
      <c r="AD301" s="2">
        <f t="shared" si="79"/>
        <v>0.10227444344259566</v>
      </c>
      <c r="AE301" s="2">
        <f t="shared" si="80"/>
        <v>0.10987695088187602</v>
      </c>
      <c r="AF301" s="2">
        <f t="shared" si="81"/>
        <v>0.11908712371493149</v>
      </c>
      <c r="AG301" s="2">
        <f t="shared" si="82"/>
        <v>9.9235315312320327E-2</v>
      </c>
      <c r="AH301" s="2">
        <f t="shared" si="83"/>
        <v>0.1199891551819615</v>
      </c>
      <c r="AI301" s="2">
        <f t="shared" si="84"/>
        <v>0.10099811712417744</v>
      </c>
      <c r="AJ301" s="2">
        <f>0.0856548854429018*(8350/2783.333)</f>
        <v>0.25696468710291948</v>
      </c>
      <c r="AK301" s="2">
        <f>0.0986261690452547*(8350/2783.333)</f>
        <v>0.29587854257031998</v>
      </c>
      <c r="AL301" s="2">
        <f>0.220747402819309*(8350/2783.333)</f>
        <v>0.66224228776838034</v>
      </c>
      <c r="AM301" s="2">
        <f>0.200939002615277*(8350/2783.333)</f>
        <v>0.60281708003949297</v>
      </c>
      <c r="AN301" s="2">
        <f>0.205897956574629*(8350/2783.333)</f>
        <v>0.61769394369920982</v>
      </c>
      <c r="AO301" s="2">
        <f>0.126107593610406*(8350/2783.333)</f>
        <v>0.37832282613933993</v>
      </c>
      <c r="AP301" s="2">
        <f>0.124605961056216*(8350/2783.333)</f>
        <v>0.37381792793726215</v>
      </c>
      <c r="AQ301" s="2">
        <f>0.137040208219393*(8350/2783.333)</f>
        <v>0.41112067389418877</v>
      </c>
      <c r="AR301" s="2">
        <f>0.152722973774569*(8350/2783.333)</f>
        <v>0.45816897619424424</v>
      </c>
      <c r="AS301" s="2">
        <f>0.194869358935533*(8350/2783.333)</f>
        <v>0.58460814681955164</v>
      </c>
      <c r="AT301" s="2">
        <f>0.187231220047801*(8350/2783.333)</f>
        <v>0.5616937274121141</v>
      </c>
      <c r="AU301" s="2">
        <f>0.0681698092004534*(8350/2783.333)</f>
        <v>0.20450945209351029</v>
      </c>
      <c r="AV301" s="2">
        <f>0.0732655851226634*(8350/2783.333)</f>
        <v>0.2197967816909582</v>
      </c>
      <c r="AW301" s="2">
        <f>0.0716548774281278*(8350/2783.333)</f>
        <v>0.21496465802865394</v>
      </c>
    </row>
    <row r="302" spans="1:49" x14ac:dyDescent="0.25">
      <c r="A302" s="5">
        <v>45924</v>
      </c>
      <c r="B302" s="2">
        <f>0.219004196646226*(8350/2783.333)</f>
        <v>0.65701266862282903</v>
      </c>
      <c r="C302" s="2">
        <f>0.210012284551896*(8350/2783.333)</f>
        <v>0.63003692910921216</v>
      </c>
      <c r="D302" s="2">
        <f>0.184261101420279*(8350/2783.333)</f>
        <v>0.55278337046243886</v>
      </c>
      <c r="E302" s="2">
        <f>0.212648522673609*(8350/2783.333)</f>
        <v>0.6379456444215017</v>
      </c>
      <c r="F302" s="2">
        <f>0.175759462710392*(8350/2783.333)</f>
        <v>0.52727845127829476</v>
      </c>
      <c r="G302" s="2">
        <f>0.230267298457575*(8350/2783.333)</f>
        <v>0.69080197810350019</v>
      </c>
      <c r="H302" s="2">
        <f>0.233973899897103*(8350/2783.333)</f>
        <v>0.70192178375379954</v>
      </c>
      <c r="I302" s="2">
        <f>0.195248613302145*(8350/2783.333)</f>
        <v>0.58574591005564669</v>
      </c>
      <c r="J302" s="2">
        <f>0.176269917159424*(8350/2783.333)</f>
        <v>0.52880981480878875</v>
      </c>
      <c r="K302" s="2">
        <f>0.251938205045531*(8350/2783.333)</f>
        <v>0.7558147056533242</v>
      </c>
      <c r="L302" s="2">
        <f>0.254208884729799*(8350/2783.333)</f>
        <v>0.76262674552194043</v>
      </c>
      <c r="M302" s="2">
        <f>0.394735177080171*(8350/2783.333)</f>
        <v>1.1842056730615513</v>
      </c>
      <c r="N302" s="2">
        <f>0.278161333287011*(8350/2783.333)</f>
        <v>0.83448409979924976</v>
      </c>
      <c r="O302" s="2">
        <f>0.422157749276723*(8350/2783.333)</f>
        <v>1.2664733995036292</v>
      </c>
      <c r="P302" s="2">
        <f>0.483227176145078*(8350/2783.333)</f>
        <v>1.4496817020498105</v>
      </c>
      <c r="Q302" s="2">
        <f>0.949452067371051*(8350/2783.333)</f>
        <v>2.8483565432336957</v>
      </c>
      <c r="R302" s="2">
        <f>0.690026724083404*(8350/2783.333)</f>
        <v>2.0700804201640337</v>
      </c>
      <c r="S302" s="2">
        <f>0.0432969420150125*(8350/2783.333)</f>
        <v>0.12989084160082703</v>
      </c>
      <c r="T302" s="2">
        <f t="shared" si="69"/>
        <v>0.10069243236843764</v>
      </c>
      <c r="U302" s="2">
        <f t="shared" si="70"/>
        <v>0.11437794326585224</v>
      </c>
      <c r="V302" s="2">
        <f t="shared" si="71"/>
        <v>0.11043877033537902</v>
      </c>
      <c r="W302" s="2">
        <f t="shared" si="72"/>
        <v>0.10705744606724045</v>
      </c>
      <c r="X302" s="2">
        <f t="shared" si="73"/>
        <v>0.11728533803050227</v>
      </c>
      <c r="Y302" s="2">
        <f t="shared" si="74"/>
        <v>0.10928020503416074</v>
      </c>
      <c r="Z302" s="2">
        <f t="shared" si="75"/>
        <v>0.10579568013572224</v>
      </c>
      <c r="AA302" s="2">
        <f t="shared" si="76"/>
        <v>0.11798772791544039</v>
      </c>
      <c r="AB302" s="2">
        <f t="shared" si="77"/>
        <v>0.10026757173055721</v>
      </c>
      <c r="AC302" s="2">
        <f t="shared" si="78"/>
        <v>0.1151901624778385</v>
      </c>
      <c r="AD302" s="2">
        <f t="shared" si="79"/>
        <v>0.10227444344259566</v>
      </c>
      <c r="AE302" s="2">
        <f t="shared" si="80"/>
        <v>0.10987695088187602</v>
      </c>
      <c r="AF302" s="2">
        <f t="shared" si="81"/>
        <v>0.11908712371493149</v>
      </c>
      <c r="AG302" s="2">
        <f t="shared" si="82"/>
        <v>9.9235315312320327E-2</v>
      </c>
      <c r="AH302" s="2">
        <f t="shared" si="83"/>
        <v>0.1199891551819615</v>
      </c>
      <c r="AI302" s="2">
        <f t="shared" si="84"/>
        <v>0.10099811712417744</v>
      </c>
      <c r="AJ302" s="2">
        <f>0.0865644948458353*(8350/2783.333)</f>
        <v>0.25969351563852572</v>
      </c>
      <c r="AK302" s="2">
        <f>0.0938297596084034*(8350/2783.333)</f>
        <v>0.28148931253650505</v>
      </c>
      <c r="AL302" s="2">
        <f>0.210112436798066*(8350/2783.333)</f>
        <v>0.63033738588370614</v>
      </c>
      <c r="AM302" s="2">
        <f>0.199947527273425*(8350/2783.333)</f>
        <v>0.59984265365771849</v>
      </c>
      <c r="AN302" s="2">
        <f>0.230742355557993*(8350/2783.333)</f>
        <v>0.69222714957543463</v>
      </c>
      <c r="AO302" s="2">
        <f>0.108348062675922*(8350/2783.333)</f>
        <v>0.32504422695521978</v>
      </c>
      <c r="AP302" s="2">
        <f>0.164919654339109*(8350/2783.333)</f>
        <v>0.49475902226990576</v>
      </c>
      <c r="AQ302" s="2">
        <f>0.119253778228001*(8350/2783.333)</f>
        <v>0.35776137752967696</v>
      </c>
      <c r="AR302" s="2">
        <f>0.211198722021945*(8350/2783.333)</f>
        <v>0.63359624194562325</v>
      </c>
      <c r="AS302" s="2">
        <f>0.227347585424789*(8350/2783.333)</f>
        <v>0.6820428379561434</v>
      </c>
      <c r="AT302" s="2">
        <f>0.181329009958729*(8350/2783.333)</f>
        <v>0.54398709502434173</v>
      </c>
      <c r="AU302" s="2">
        <f>0.0817705983839989*(8350/2783.333)</f>
        <v>0.24531182453065828</v>
      </c>
      <c r="AV302" s="2">
        <f>0.081475048149093*(8350/2783.333)</f>
        <v>0.24442517371975475</v>
      </c>
      <c r="AW302" s="2">
        <f>0.0954362141884393*(8350/2783.333)</f>
        <v>0.28630867685378208</v>
      </c>
    </row>
    <row r="303" spans="1:49" x14ac:dyDescent="0.25">
      <c r="A303" s="5">
        <v>45925</v>
      </c>
      <c r="B303" s="2">
        <f>0.242819151931849*(8350/2783.333)</f>
        <v>0.72845754303597188</v>
      </c>
      <c r="C303" s="2">
        <f>0.274890221427195*(8350/2783.333)</f>
        <v>0.82467076304455178</v>
      </c>
      <c r="D303" s="2">
        <f>0.222599929316643*(8350/2783.333)</f>
        <v>0.66779986792596102</v>
      </c>
      <c r="E303" s="2">
        <f>0.252027878724277*(8350/2783.333)</f>
        <v>0.75608372672178037</v>
      </c>
      <c r="F303" s="2">
        <f>0.192163679230028*(8350/2783.333)</f>
        <v>0.57649110673093573</v>
      </c>
      <c r="G303" s="2">
        <f>0.239269517944599*(8350/2783.333)</f>
        <v>0.71780863979890508</v>
      </c>
      <c r="H303" s="2">
        <f>0.232541406632427*(8350/2783.333)</f>
        <v>0.69762430344510296</v>
      </c>
      <c r="I303" s="2">
        <f>0.193384664726469*(8350/2783.333)</f>
        <v>0.5801540636589344</v>
      </c>
      <c r="J303" s="2">
        <f>0.193302740615278*(8350/2783.333)</f>
        <v>0.57990829129593002</v>
      </c>
      <c r="K303" s="2">
        <f>0.258747345722437*(8350/2783.333)</f>
        <v>0.77624213013044085</v>
      </c>
      <c r="L303" s="2">
        <f>0.270018929933943*(8350/2783.333)</f>
        <v>0.81005688681463095</v>
      </c>
      <c r="M303" s="2">
        <f>0.259485512611853*(8350/2783.333)</f>
        <v>0.77845663106389917</v>
      </c>
      <c r="N303" s="2">
        <f>0.189512183160131*(8350/2783.333)</f>
        <v>0.5685366175686104</v>
      </c>
      <c r="O303" s="2">
        <f>0.328261452729409*(8350/2783.333)</f>
        <v>0.98478447612648723</v>
      </c>
      <c r="P303" s="2">
        <f>0.485813583867532*(8350/2783.333)</f>
        <v>1.4574409261464201</v>
      </c>
      <c r="Q303" s="2">
        <f>0.38817637925801*(8350/2783.333)</f>
        <v>1.1645292772386149</v>
      </c>
      <c r="R303" s="2">
        <f>0.67253413722692*(8350/2783.333)</f>
        <v>2.0176026533098215</v>
      </c>
      <c r="S303" s="2">
        <f>0.150383684721182*(8350/2783.333)</f>
        <v>0.45115110819361975</v>
      </c>
      <c r="T303" s="2">
        <f t="shared" si="69"/>
        <v>0.10069243236843764</v>
      </c>
      <c r="U303" s="2">
        <f t="shared" si="70"/>
        <v>0.11437794326585224</v>
      </c>
      <c r="V303" s="2">
        <f t="shared" si="71"/>
        <v>0.11043877033537902</v>
      </c>
      <c r="W303" s="2">
        <f t="shared" si="72"/>
        <v>0.10705744606724045</v>
      </c>
      <c r="X303" s="2">
        <f t="shared" si="73"/>
        <v>0.11728533803050227</v>
      </c>
      <c r="Y303" s="2">
        <f t="shared" si="74"/>
        <v>0.10928020503416074</v>
      </c>
      <c r="Z303" s="2">
        <f t="shared" si="75"/>
        <v>0.10579568013572224</v>
      </c>
      <c r="AA303" s="2">
        <f t="shared" si="76"/>
        <v>0.11798772791544039</v>
      </c>
      <c r="AB303" s="2">
        <f t="shared" si="77"/>
        <v>0.10026757173055721</v>
      </c>
      <c r="AC303" s="2">
        <f t="shared" si="78"/>
        <v>0.1151901624778385</v>
      </c>
      <c r="AD303" s="2">
        <f t="shared" si="79"/>
        <v>0.10227444344259566</v>
      </c>
      <c r="AE303" s="2">
        <f t="shared" si="80"/>
        <v>0.10987695088187602</v>
      </c>
      <c r="AF303" s="2">
        <f t="shared" si="81"/>
        <v>0.11908712371493149</v>
      </c>
      <c r="AG303" s="2">
        <f t="shared" si="82"/>
        <v>9.9235315312320327E-2</v>
      </c>
      <c r="AH303" s="2">
        <f t="shared" si="83"/>
        <v>0.1199891551819615</v>
      </c>
      <c r="AI303" s="2">
        <f t="shared" si="84"/>
        <v>0.10099811712417744</v>
      </c>
      <c r="AJ303" s="2">
        <f>0.0691303146229438*(8350/2783.333)</f>
        <v>0.20739096870607313</v>
      </c>
      <c r="AK303" s="2">
        <f>0.0551587085237899*(8350/2783.333)</f>
        <v>0.16547614538887201</v>
      </c>
      <c r="AL303" s="2">
        <f>0.133368222536666*(8350/2783.333)</f>
        <v>0.40010471552672949</v>
      </c>
      <c r="AM303" s="2">
        <f>0.238615065605641*(8350/2783.333)</f>
        <v>0.7158452825468975</v>
      </c>
      <c r="AN303" s="2">
        <f>0.244717329986135*(8350/2783.333)</f>
        <v>0.73415207788081105</v>
      </c>
      <c r="AO303" s="2">
        <f>0.108348062675922*(8350/2783.333)</f>
        <v>0.32504422695521978</v>
      </c>
      <c r="AP303" s="2">
        <f>0.122940105961881*(8350/2783.333)</f>
        <v>0.36882036205574775</v>
      </c>
      <c r="AQ303" s="2">
        <f>0.131450187364956*(8350/2783.333)</f>
        <v>0.39435060932248467</v>
      </c>
      <c r="AR303" s="2">
        <f>0.121525018704042*(8350/2783.333)</f>
        <v>0.3645750997738158</v>
      </c>
      <c r="AS303" s="2">
        <f>0.104509144643644*(8350/2783.333)</f>
        <v>0.31352747147913218</v>
      </c>
      <c r="AT303" s="2">
        <f>0.102632875437762*(8350/2783.333)</f>
        <v>0.30789866318737619</v>
      </c>
      <c r="AU303" s="2">
        <f>0.0877416765621408*(8350/2783.333)</f>
        <v>0.26322506121038186</v>
      </c>
      <c r="AV303" s="2">
        <f>0.0813201526202924*(8350/2783.333)</f>
        <v>0.24396048707770202</v>
      </c>
      <c r="AW303" s="2">
        <f>0.106627431487409*(8350/2783.333)</f>
        <v>0.31988233277148931</v>
      </c>
    </row>
    <row r="304" spans="1:49" x14ac:dyDescent="0.25">
      <c r="A304" s="5">
        <v>45926</v>
      </c>
      <c r="B304" s="2">
        <f>0.254026189713319*(8350/2783.333)</f>
        <v>0.76207866040686267</v>
      </c>
      <c r="C304" s="2">
        <f>0.219143253445456*(8350/2783.333)</f>
        <v>0.65742983907048191</v>
      </c>
      <c r="D304" s="2">
        <f>0.198735965013804*(8350/2783.333)</f>
        <v>0.59620796644356489</v>
      </c>
      <c r="E304" s="2">
        <f>0.244152007514143*(8350/2783.333)</f>
        <v>0.73245611026172452</v>
      </c>
      <c r="F304" s="2">
        <f>0.208177319165864*(8350/2783.333)</f>
        <v>0.62453203229184673</v>
      </c>
      <c r="G304" s="2">
        <f>0.244955130252194*(8350/2783.333)</f>
        <v>0.7348654787644231</v>
      </c>
      <c r="H304" s="2">
        <f>0.239226375200916*(8350/2783.333)</f>
        <v>0.71767921155235448</v>
      </c>
      <c r="I304" s="2">
        <f>0.245575224845419*(8350/2783.333)</f>
        <v>0.73672576276688728</v>
      </c>
      <c r="J304" s="2">
        <f>0.204393881470253*(8350/2783.333)</f>
        <v>0.61318171784569642</v>
      </c>
      <c r="K304" s="2">
        <f>0.250890644941392*(8350/2783.333)</f>
        <v>0.75267202496453733</v>
      </c>
      <c r="L304" s="2">
        <f>0.275011575787884*(8350/2783.333)</f>
        <v>0.82503482617021762</v>
      </c>
      <c r="M304" s="2">
        <f>0.391210755856241*(8350/2783.333)</f>
        <v>1.1736324081235014</v>
      </c>
      <c r="N304" s="2">
        <f>0.220637884760235*(8350/2783.333)</f>
        <v>0.66191373355181227</v>
      </c>
      <c r="O304" s="2">
        <f>0.208074193148847*(8350/2783.333)</f>
        <v>0.6242226542037459</v>
      </c>
      <c r="P304" s="2">
        <f>0.372873779987059*(8350/2783.333)</f>
        <v>1.11862147392782</v>
      </c>
      <c r="Q304" s="2">
        <f>0.383459776836892*(8350/2783.333)</f>
        <v>1.1503794682806727</v>
      </c>
      <c r="R304" s="2">
        <f>0.369577420180593*(8350/2783.333)</f>
        <v>1.1087323933241029</v>
      </c>
      <c r="S304" s="2">
        <f>0.0813551081278527*(8350/2783.333)</f>
        <v>0.24406535361294188</v>
      </c>
      <c r="T304" s="2">
        <f t="shared" si="69"/>
        <v>0.10069243236843764</v>
      </c>
      <c r="U304" s="2">
        <f t="shared" si="70"/>
        <v>0.11437794326585224</v>
      </c>
      <c r="V304" s="2">
        <f t="shared" si="71"/>
        <v>0.11043877033537902</v>
      </c>
      <c r="W304" s="2">
        <f t="shared" si="72"/>
        <v>0.10705744606724045</v>
      </c>
      <c r="X304" s="2">
        <f t="shared" si="73"/>
        <v>0.11728533803050227</v>
      </c>
      <c r="Y304" s="2">
        <f t="shared" si="74"/>
        <v>0.10928020503416074</v>
      </c>
      <c r="Z304" s="2">
        <f t="shared" si="75"/>
        <v>0.10579568013572224</v>
      </c>
      <c r="AA304" s="2">
        <f t="shared" si="76"/>
        <v>0.11798772791544039</v>
      </c>
      <c r="AB304" s="2">
        <f t="shared" si="77"/>
        <v>0.10026757173055721</v>
      </c>
      <c r="AC304" s="2">
        <f t="shared" si="78"/>
        <v>0.1151901624778385</v>
      </c>
      <c r="AD304" s="2">
        <f t="shared" si="79"/>
        <v>0.10227444344259566</v>
      </c>
      <c r="AE304" s="2">
        <f t="shared" si="80"/>
        <v>0.10987695088187602</v>
      </c>
      <c r="AF304" s="2">
        <f t="shared" si="81"/>
        <v>0.11908712371493149</v>
      </c>
      <c r="AG304" s="2">
        <f t="shared" si="82"/>
        <v>9.9235315312320327E-2</v>
      </c>
      <c r="AH304" s="2">
        <f t="shared" si="83"/>
        <v>0.1199891551819615</v>
      </c>
      <c r="AI304" s="2">
        <f t="shared" si="84"/>
        <v>0.10099811712417744</v>
      </c>
      <c r="AJ304" s="2">
        <f>0.0712527365631219*(8350/2783.333)</f>
        <v>0.21375823528915433</v>
      </c>
      <c r="AK304" s="2">
        <f>0.139995200438097*(8350/2783.333)</f>
        <v>0.4199856516119741</v>
      </c>
      <c r="AL304" s="2">
        <f>0.121583530459072*(8350/2783.333)</f>
        <v>0.364750635059928</v>
      </c>
      <c r="AM304" s="2">
        <f>0.147068842374668*(8350/2783.333)</f>
        <v>0.44120657996311535</v>
      </c>
      <c r="AN304" s="2">
        <f>0.184159107464186*(8350/2783.333)</f>
        <v>0.55247738855751383</v>
      </c>
      <c r="AO304" s="2">
        <f>0.0959611629485099*(8350/2783.333)</f>
        <v>0.28788352332259842</v>
      </c>
      <c r="AP304" s="2">
        <f>0.110446192754373*(8350/2783.333)</f>
        <v>0.33133861794439151</v>
      </c>
      <c r="AQ304" s="2">
        <f>0.114171941087603*(8350/2783.333)</f>
        <v>0.34251586428267389</v>
      </c>
      <c r="AR304" s="2">
        <f>0.110744573496426*(8350/2783.333)</f>
        <v>0.3322337602777517</v>
      </c>
      <c r="AS304" s="2">
        <f>0.11962277479211*(8350/2783.333)</f>
        <v>0.35886836735457611</v>
      </c>
      <c r="AT304" s="2">
        <f>0.13263577672388*(8350/2783.333)</f>
        <v>0.3979073778252194</v>
      </c>
      <c r="AU304" s="2">
        <f>0.107147680641102*(8350/2783.333)</f>
        <v>0.32144308041948327</v>
      </c>
      <c r="AV304" s="2">
        <f>0.105483855113179*(8350/2783.333)</f>
        <v>0.31645160323793348</v>
      </c>
      <c r="AW304" s="2">
        <f>0.100876389264328*(8350/2783.333)</f>
        <v>0.30262920403600096</v>
      </c>
    </row>
    <row r="305" spans="1:49" x14ac:dyDescent="0.25">
      <c r="A305" s="5">
        <v>45927</v>
      </c>
      <c r="B305" s="2">
        <f>0.237682592948675*(8350/2783.333)</f>
        <v>0.71304786424097999</v>
      </c>
      <c r="C305" s="2">
        <f>0.240288655093702*(8350/2783.333)</f>
        <v>0.72086605161237061</v>
      </c>
      <c r="D305" s="2">
        <f>0.192867777070483*(8350/2783.333)</f>
        <v>0.57860340050527059</v>
      </c>
      <c r="E305" s="2">
        <f>0.222377540050832*(8350/2783.333)</f>
        <v>0.66713270004862923</v>
      </c>
      <c r="F305" s="2">
        <f>0.193725985565232*(8350/2783.333)</f>
        <v>0.58117802629785398</v>
      </c>
      <c r="G305" s="2">
        <f>0.230741099483208*(8350/2783.333)</f>
        <v>0.69222338135062722</v>
      </c>
      <c r="H305" s="2">
        <f>0.214873989701421*(8350/2783.333)</f>
        <v>0.64462204630450959</v>
      </c>
      <c r="I305" s="2">
        <f>0.198044536165661*(8350/2783.333)</f>
        <v>0.59413367965071562</v>
      </c>
      <c r="J305" s="2">
        <f>0.194491077135454*(8350/2783.333)</f>
        <v>0.58347330128340458</v>
      </c>
      <c r="K305" s="2">
        <f>0.258223565670368*(8350/2783.333)</f>
        <v>0.77467078978604764</v>
      </c>
      <c r="L305" s="2">
        <f>0.256289153835607*(8350/2783.333)</f>
        <v>0.76886755358676806</v>
      </c>
      <c r="M305" s="2">
        <f>0.259485512611853*(8350/2783.333)</f>
        <v>0.77845663106389917</v>
      </c>
      <c r="N305" s="2">
        <f>0.228911805438745*(8350/2783.333)</f>
        <v>0.68673549856000582</v>
      </c>
      <c r="O305" s="2">
        <f>0.193426370887466*(8350/2783.333)</f>
        <v>0.58027918215691199</v>
      </c>
      <c r="P305" s="2">
        <f>0.203464074166349*(8350/2783.333)</f>
        <v>0.61039229559992014</v>
      </c>
      <c r="Q305" s="2">
        <f>0.72116851018894*(8350/2783.333)</f>
        <v>2.1635057896693093</v>
      </c>
      <c r="R305" s="2">
        <f>0.415728074865783*(8350/2783.333)</f>
        <v>1.2471843739607478</v>
      </c>
      <c r="S305" s="2">
        <f>0.242524507941743*(8350/2783.333)</f>
        <v>0.72757361095979312</v>
      </c>
      <c r="T305" s="2">
        <f t="shared" si="69"/>
        <v>0.10069243236843764</v>
      </c>
      <c r="U305" s="2">
        <f t="shared" si="70"/>
        <v>0.11437794326585224</v>
      </c>
      <c r="V305" s="2">
        <f t="shared" si="71"/>
        <v>0.11043877033537902</v>
      </c>
      <c r="W305" s="2">
        <f t="shared" si="72"/>
        <v>0.10705744606724045</v>
      </c>
      <c r="X305" s="2">
        <f t="shared" si="73"/>
        <v>0.11728533803050227</v>
      </c>
      <c r="Y305" s="2">
        <f t="shared" si="74"/>
        <v>0.10928020503416074</v>
      </c>
      <c r="Z305" s="2">
        <f t="shared" si="75"/>
        <v>0.10579568013572224</v>
      </c>
      <c r="AA305" s="2">
        <f t="shared" si="76"/>
        <v>0.11798772791544039</v>
      </c>
      <c r="AB305" s="2">
        <f t="shared" si="77"/>
        <v>0.10026757173055721</v>
      </c>
      <c r="AC305" s="2">
        <f t="shared" si="78"/>
        <v>0.1151901624778385</v>
      </c>
      <c r="AD305" s="2">
        <f t="shared" si="79"/>
        <v>0.10227444344259566</v>
      </c>
      <c r="AE305" s="2">
        <f t="shared" si="80"/>
        <v>0.10987695088187602</v>
      </c>
      <c r="AF305" s="2">
        <f t="shared" si="81"/>
        <v>0.11908712371493149</v>
      </c>
      <c r="AG305" s="2">
        <f t="shared" si="82"/>
        <v>9.9235315312320327E-2</v>
      </c>
      <c r="AH305" s="2">
        <f t="shared" si="83"/>
        <v>0.1199891551819615</v>
      </c>
      <c r="AI305" s="2">
        <f t="shared" si="84"/>
        <v>0.10099811712417744</v>
      </c>
      <c r="AJ305" s="2">
        <f>0.00303203134311157*(8350/2783.333)</f>
        <v>9.0960951186874195E-3</v>
      </c>
      <c r="AK305" s="2">
        <f>0.0512616258563482*(8350/2783.333)</f>
        <v>0.15378489598639736</v>
      </c>
      <c r="AL305" s="2">
        <f>0.0678338373246835*(8350/2783.333)</f>
        <v>0.2035015363454919</v>
      </c>
      <c r="AM305" s="2">
        <f>0.168881299895405*(8350/2783.333)</f>
        <v>0.50664396036213921</v>
      </c>
      <c r="AN305" s="2">
        <f>0.256828974490525*(8350/2783.333)</f>
        <v>0.77048701574546996</v>
      </c>
      <c r="AO305" s="2">
        <f>0.108795781943178*(8350/2783.333)</f>
        <v>0.3263873849178448</v>
      </c>
      <c r="AP305" s="2">
        <f>0.140431584452393*(8350/2783.333)</f>
        <v>0.42129480381164713</v>
      </c>
      <c r="AQ305" s="2">
        <f>0.150761168498467*(8350/2783.333)</f>
        <v>0.4522835596610974</v>
      </c>
      <c r="AR305" s="2">
        <f>0.126261880992238*(8350/2783.333)</f>
        <v>0.37878568834026827</v>
      </c>
      <c r="AS305" s="2">
        <f>0.133932488443316*(8350/2783.333)</f>
        <v>0.40179751344941095</v>
      </c>
      <c r="AT305" s="2">
        <f>0.115093096736915*(8350/2783.333)</f>
        <v>0.34527933156156226</v>
      </c>
      <c r="AU305" s="2">
        <f>0.100181422766603*(8350/2783.333)</f>
        <v>0.30054430429313916</v>
      </c>
      <c r="AV305" s="2">
        <f>0.0975841831443509*(8350/2783.333)</f>
        <v>0.29275258449324243</v>
      </c>
      <c r="AW305" s="2">
        <f>0.0968351163508105*(8350/2783.333)</f>
        <v>0.2905053838434955</v>
      </c>
    </row>
    <row r="306" spans="1:49" x14ac:dyDescent="0.25">
      <c r="A306" s="5">
        <v>45928</v>
      </c>
      <c r="B306" s="2">
        <f>0.294651701671148*(8350/2783.333)</f>
        <v>0.88395521087634288</v>
      </c>
      <c r="C306" s="2">
        <f>0.301321973487503*(8350/2783.333)</f>
        <v>0.90396602872191301</v>
      </c>
      <c r="D306" s="2">
        <f>0.24959359385592*(8350/2783.333)</f>
        <v>0.74878087124211457</v>
      </c>
      <c r="E306" s="2">
        <f>0.302526111777487*(8350/2783.333)</f>
        <v>0.90757844402448928</v>
      </c>
      <c r="F306" s="2">
        <f>0.244500941459345*(8350/2783.333)</f>
        <v>0.73350291222269481</v>
      </c>
      <c r="G306" s="2">
        <f>0.227898293329411*(8350/2783.333)</f>
        <v>0.68369496186786793</v>
      </c>
      <c r="H306" s="2">
        <f>0.234928895406888*(8350/2783.333)</f>
        <v>0.70478677062626405</v>
      </c>
      <c r="I306" s="2">
        <f>0.233925546247439*(8350/2783.333)</f>
        <v>0.70177672278743319</v>
      </c>
      <c r="J306" s="2">
        <f>0.190926067574927*(8350/2783.333)</f>
        <v>0.57277827132098025</v>
      </c>
      <c r="K306" s="2">
        <f>0.233605903223091*(8350/2783.333)</f>
        <v>0.70081779359954821</v>
      </c>
      <c r="L306" s="2">
        <f>0.259617584404901*(8350/2783.333)</f>
        <v>0.77885284649049236</v>
      </c>
      <c r="M306" s="2">
        <f>0.258604407305871*(8350/2783.333)</f>
        <v>0.77581331482938698</v>
      </c>
      <c r="N306" s="2">
        <f>0.16823638712968*(8350/2783.333)</f>
        <v>0.50470922183325673</v>
      </c>
      <c r="O306" s="2">
        <f>0.175773867136571*(8350/2783.333)</f>
        <v>0.52732166456200935</v>
      </c>
      <c r="P306" s="2">
        <f>0.341405819363873*(8350/2783.333)</f>
        <v>1.0242175807524083</v>
      </c>
      <c r="Q306" s="2">
        <f>0.857949980401362*(8350/2783.333)</f>
        <v>2.5738502494496238</v>
      </c>
      <c r="R306" s="2">
        <f>1.53488145098164*(8350/2783.333)</f>
        <v>4.6046449043993931</v>
      </c>
      <c r="S306" s="2">
        <f>0.493369424669289*(8350/2783.333)</f>
        <v>1.4801084512663636</v>
      </c>
      <c r="T306" s="2">
        <f t="shared" si="69"/>
        <v>0.10069243236843764</v>
      </c>
      <c r="U306" s="2">
        <f t="shared" si="70"/>
        <v>0.11437794326585224</v>
      </c>
      <c r="V306" s="2">
        <f t="shared" si="71"/>
        <v>0.11043877033537902</v>
      </c>
      <c r="W306" s="2">
        <f t="shared" si="72"/>
        <v>0.10705744606724045</v>
      </c>
      <c r="X306" s="2">
        <f t="shared" si="73"/>
        <v>0.11728533803050227</v>
      </c>
      <c r="Y306" s="2">
        <f t="shared" si="74"/>
        <v>0.10928020503416074</v>
      </c>
      <c r="Z306" s="2">
        <f t="shared" si="75"/>
        <v>0.10579568013572224</v>
      </c>
      <c r="AA306" s="2">
        <f t="shared" si="76"/>
        <v>0.11798772791544039</v>
      </c>
      <c r="AB306" s="2">
        <f t="shared" si="77"/>
        <v>0.10026757173055721</v>
      </c>
      <c r="AC306" s="2">
        <f t="shared" si="78"/>
        <v>0.1151901624778385</v>
      </c>
      <c r="AD306" s="2">
        <f t="shared" si="79"/>
        <v>0.10227444344259566</v>
      </c>
      <c r="AE306" s="2">
        <f t="shared" si="80"/>
        <v>0.10987695088187602</v>
      </c>
      <c r="AF306" s="2">
        <f t="shared" si="81"/>
        <v>0.11908712371493149</v>
      </c>
      <c r="AG306" s="2">
        <f t="shared" si="82"/>
        <v>9.9235315312320327E-2</v>
      </c>
      <c r="AH306" s="2">
        <f t="shared" si="83"/>
        <v>0.1199891551819615</v>
      </c>
      <c r="AI306" s="2">
        <f t="shared" si="84"/>
        <v>0.10099811712417744</v>
      </c>
      <c r="AJ306" s="2">
        <f>0.000303203134311157*(8350/2783.333)</f>
        <v>9.0960951186874197E-4</v>
      </c>
      <c r="AK306" s="2">
        <f>0.0389708266744167*(8350/2783.333)</f>
        <v>0.11691249402474645</v>
      </c>
      <c r="AL306" s="2">
        <f>0.0945649681348342*(8350/2783.333)</f>
        <v>0.28369493837994425</v>
      </c>
      <c r="AM306" s="2">
        <f>0.226386869722804*(8350/2783.333)</f>
        <v>0.6791606905050207</v>
      </c>
      <c r="AN306" s="2">
        <f>0.253723424617605*(8350/2783.333)</f>
        <v>0.76117036501094182</v>
      </c>
      <c r="AO306" s="2">
        <f>0.130734026038716*(8350/2783.333)</f>
        <v>0.39220212508646357</v>
      </c>
      <c r="AP306" s="2">
        <f>0.133601578565622*(8350/2783.333)</f>
        <v>0.40080478369743888</v>
      </c>
      <c r="AQ306" s="2">
        <f>0.230546011602712*(8350/2783.333)</f>
        <v>0.69163811763904914</v>
      </c>
      <c r="AR306" s="2">
        <f>0.167913601112575*(8350/2783.333)</f>
        <v>0.50374086366597159</v>
      </c>
      <c r="AS306" s="2">
        <f>0.209500639185643*(8350/2783.333)</f>
        <v>0.62850199282663022</v>
      </c>
      <c r="AT306" s="2">
        <f>0.135422931488165*(8350/2783.333)</f>
        <v>0.40626884311944506</v>
      </c>
      <c r="AU306" s="2">
        <f>0.307510526174308*(8350/2783.333)</f>
        <v>0.92253168900576155</v>
      </c>
      <c r="AV306" s="2">
        <f>0.361371268691699*(8350/2783.333)</f>
        <v>1.0841139359091021</v>
      </c>
      <c r="AW306" s="2">
        <f>0.0937264448788744*(8350/2783.333)</f>
        <v>0.28117936831079893</v>
      </c>
    </row>
    <row r="307" spans="1:49" x14ac:dyDescent="0.25">
      <c r="A307" s="5">
        <v>45929</v>
      </c>
      <c r="B307" s="2">
        <f>0.278308104906504*(8350/2783.333)</f>
        <v>0.83492441471046053</v>
      </c>
      <c r="C307" s="2">
        <f>0.254225397089137*(8350/2783.333)</f>
        <v>0.76267628260588827</v>
      </c>
      <c r="D307" s="2">
        <f>0.16039713711744*(8350/2783.333)</f>
        <v>0.48119146898004234</v>
      </c>
      <c r="E307" s="2">
        <f>0.22006110734197*(8350/2783.333)</f>
        <v>0.66018340108978979</v>
      </c>
      <c r="F307" s="2">
        <f>0.187867336808218*(8350/2783.333)</f>
        <v>0.5636020779219103</v>
      </c>
      <c r="G307" s="2">
        <f>0.21794847179112*(8350/2783.333)</f>
        <v>0.65384549367821043</v>
      </c>
      <c r="H307" s="2">
        <f>0.211531505417177*(8350/2783.333)</f>
        <v>0.63459459225088388</v>
      </c>
      <c r="I307" s="2">
        <f>0.222741854793378*(8350/2783.333)</f>
        <v>0.66822564440715726</v>
      </c>
      <c r="J307" s="2">
        <f>0.168347673691585*(8350/2783.333)</f>
        <v>0.50504308155895516</v>
      </c>
      <c r="K307" s="2">
        <f>0.247224184576904*(8350/2783.333)</f>
        <v>0.74167264255378174</v>
      </c>
      <c r="L307" s="2">
        <f>0.251296507981667*(8350/2783.333)</f>
        <v>0.75388961423118206</v>
      </c>
      <c r="M307" s="2">
        <f>0.410154519934865*(8350/2783.333)</f>
        <v>1.230463707165518</v>
      </c>
      <c r="N307" s="2">
        <f>0.186360213377842*(8350/2783.333)</f>
        <v>0.55908070708929869</v>
      </c>
      <c r="O307" s="2">
        <f>0.198684563494116*(8350/2783.333)</f>
        <v>0.59605376186603176</v>
      </c>
      <c r="P307" s="2">
        <f>0.45305241938312*(8350/2783.333)</f>
        <v>1.359157420922704</v>
      </c>
      <c r="Q307" s="2">
        <f>0.207530506529191*(8350/2783.333)</f>
        <v>0.62259159414944176</v>
      </c>
      <c r="R307" s="2">
        <f>0.501702278351903*(8350/2783.333)</f>
        <v>1.5051070153080464</v>
      </c>
      <c r="S307" s="2">
        <f>0.283510225294032*(8350/2783.333)</f>
        <v>0.85053077774206998</v>
      </c>
      <c r="T307" s="2">
        <f t="shared" si="69"/>
        <v>0.10069243236843764</v>
      </c>
      <c r="U307" s="2">
        <f t="shared" si="70"/>
        <v>0.11437794326585224</v>
      </c>
      <c r="V307" s="2">
        <f t="shared" si="71"/>
        <v>0.11043877033537902</v>
      </c>
      <c r="W307" s="2">
        <f t="shared" si="72"/>
        <v>0.10705744606724045</v>
      </c>
      <c r="X307" s="2">
        <f t="shared" si="73"/>
        <v>0.11728533803050227</v>
      </c>
      <c r="Y307" s="2">
        <f t="shared" si="74"/>
        <v>0.10928020503416074</v>
      </c>
      <c r="Z307" s="2">
        <f t="shared" si="75"/>
        <v>0.10579568013572224</v>
      </c>
      <c r="AA307" s="2">
        <f t="shared" si="76"/>
        <v>0.11798772791544039</v>
      </c>
      <c r="AB307" s="2">
        <f t="shared" si="77"/>
        <v>0.10026757173055721</v>
      </c>
      <c r="AC307" s="2">
        <f t="shared" si="78"/>
        <v>0.1151901624778385</v>
      </c>
      <c r="AD307" s="2">
        <f t="shared" si="79"/>
        <v>0.10227444344259566</v>
      </c>
      <c r="AE307" s="2">
        <f t="shared" si="80"/>
        <v>0.10987695088187602</v>
      </c>
      <c r="AF307" s="2">
        <f t="shared" si="81"/>
        <v>0.11908712371493149</v>
      </c>
      <c r="AG307" s="2">
        <f t="shared" si="82"/>
        <v>9.9235315312320327E-2</v>
      </c>
      <c r="AH307" s="2">
        <f t="shared" si="83"/>
        <v>0.1199891551819615</v>
      </c>
      <c r="AI307" s="2">
        <f t="shared" si="84"/>
        <v>0.10099811712417744</v>
      </c>
      <c r="AJ307" s="2">
        <f>0.0909609402933471*(8350/2783.333)</f>
        <v>0.27288285356062247</v>
      </c>
      <c r="AK307" s="2">
        <f>0.130402381564394*(8350/2783.333)</f>
        <v>0.39120719154434414</v>
      </c>
      <c r="AL307" s="2">
        <f>0.126469866198562*(8350/2783.333)</f>
        <v>0.3794096440339676</v>
      </c>
      <c r="AM307" s="2">
        <f>0.19102424919676*(8350/2783.333)</f>
        <v>0.57307281622175466</v>
      </c>
      <c r="AN307" s="2">
        <f>0.303101667597041*(8350/2783.333)</f>
        <v>0.90930511168993844</v>
      </c>
      <c r="AO307" s="2">
        <f>0.163566772304148*(8350/2783.333)</f>
        <v>0.49070037567895458</v>
      </c>
      <c r="AP307" s="2">
        <f>0.127771085735451*(8350/2783.333)</f>
        <v>0.38331330311213868</v>
      </c>
      <c r="AQ307" s="2">
        <f>0.195142546191274*(8350/2783.333)</f>
        <v>0.58542770868492611</v>
      </c>
      <c r="AR307" s="2">
        <f>0.344974246643733*(8350/2783.333)</f>
        <v>1.0349228638740577</v>
      </c>
      <c r="AS307" s="2">
        <f>0.185543927567331*(8350/2783.333)</f>
        <v>0.55663184936448995</v>
      </c>
      <c r="AT307" s="2">
        <f>0.119847654864223*(8350/2783.333)</f>
        <v>0.35954300765171243</v>
      </c>
      <c r="AU307" s="2">
        <f>0.105986637662019*(8350/2783.333)</f>
        <v>0.31795995106509245</v>
      </c>
      <c r="AV307" s="2">
        <f>0.072026420892259*(8350/2783.333)</f>
        <v>0.21607928855453609</v>
      </c>
      <c r="AW307" s="2">
        <f>0.0778722203720001*(8350/2783.333)</f>
        <v>0.2336166890940469</v>
      </c>
    </row>
    <row r="308" spans="1:49" x14ac:dyDescent="0.25">
      <c r="A308" s="5">
        <v>45930</v>
      </c>
      <c r="B308" s="2">
        <f>0.231145154242818*(8350/2783.333)</f>
        <v>0.6934355457746274</v>
      </c>
      <c r="C308" s="2">
        <f>0.231157686200142*(8350/2783.333)</f>
        <v>0.69347314165110074</v>
      </c>
      <c r="D308" s="2">
        <f>0.186217164068053*(8350/2783.333)</f>
        <v>0.5586515591085367</v>
      </c>
      <c r="E308" s="2">
        <f>0.223304113134378*(8350/2783.333)</f>
        <v>0.66991241963216508</v>
      </c>
      <c r="F308" s="2">
        <f>0.187867336808218*(8350/2783.333)</f>
        <v>0.5636020779219103</v>
      </c>
      <c r="G308" s="2">
        <f>0.226003089226879*(8350/2783.333)</f>
        <v>0.67800934887936171</v>
      </c>
      <c r="H308" s="2">
        <f>0.224901442554155*(8350/2783.333)</f>
        <v>0.67470440846538693</v>
      </c>
      <c r="I308" s="2">
        <f>0.248371147708934*(8350/2783.333)</f>
        <v>0.74511353236195643</v>
      </c>
      <c r="J308" s="2">
        <f>0.412352772501034*(8350/2783.333)</f>
        <v>1.2370584656538177</v>
      </c>
      <c r="K308" s="2">
        <f>0.279174767753156*(8350/2783.333)</f>
        <v>0.8375244035617917</v>
      </c>
      <c r="L308" s="2">
        <f>0.25212861562399*(8350/2783.333)</f>
        <v>0.7563859374571128</v>
      </c>
      <c r="M308" s="2">
        <f>0.264331591794757*(8350/2783.333)</f>
        <v>0.79299487035371741</v>
      </c>
      <c r="N308" s="2">
        <f>0.189906179382917*(8350/2783.333)</f>
        <v>0.56971860637852445</v>
      </c>
      <c r="O308" s="2">
        <f>0.270421334056264*(8350/2783.333)</f>
        <v>0.81126409932616805</v>
      </c>
      <c r="P308" s="2">
        <f>0.642722319029716*(8350/2783.333)</f>
        <v>1.9281671880073754</v>
      </c>
      <c r="Q308" s="2">
        <f>0.951810368581609*(8350/2783.333)</f>
        <v>2.8554314477126663</v>
      </c>
      <c r="R308" s="2">
        <f>0.33756970806022*(8350/2783.333)</f>
        <v>1.0127092454632032</v>
      </c>
      <c r="S308" s="2">
        <f>0.125576540007955*(8350/2783.333)</f>
        <v>0.37672966514118872</v>
      </c>
      <c r="T308" s="2">
        <f t="shared" si="69"/>
        <v>0.10069243236843764</v>
      </c>
      <c r="U308" s="2">
        <f t="shared" si="70"/>
        <v>0.11437794326585224</v>
      </c>
      <c r="V308" s="2">
        <f t="shared" si="71"/>
        <v>0.11043877033537902</v>
      </c>
      <c r="W308" s="2">
        <f t="shared" si="72"/>
        <v>0.10705744606724045</v>
      </c>
      <c r="X308" s="2">
        <f t="shared" si="73"/>
        <v>0.11728533803050227</v>
      </c>
      <c r="Y308" s="2">
        <f t="shared" si="74"/>
        <v>0.10928020503416074</v>
      </c>
      <c r="Z308" s="2">
        <f t="shared" si="75"/>
        <v>0.10579568013572224</v>
      </c>
      <c r="AA308" s="2">
        <f t="shared" si="76"/>
        <v>0.11798772791544039</v>
      </c>
      <c r="AB308" s="2">
        <f t="shared" si="77"/>
        <v>0.10026757173055721</v>
      </c>
      <c r="AC308" s="2">
        <f t="shared" si="78"/>
        <v>0.1151901624778385</v>
      </c>
      <c r="AD308" s="2">
        <f t="shared" si="79"/>
        <v>0.10227444344259566</v>
      </c>
      <c r="AE308" s="2">
        <f t="shared" si="80"/>
        <v>0.10987695088187602</v>
      </c>
      <c r="AF308" s="2">
        <f t="shared" si="81"/>
        <v>0.11908712371493149</v>
      </c>
      <c r="AG308" s="2">
        <f t="shared" si="82"/>
        <v>9.9235315312320327E-2</v>
      </c>
      <c r="AH308" s="2">
        <f t="shared" si="83"/>
        <v>0.1199891551819615</v>
      </c>
      <c r="AI308" s="2">
        <f t="shared" si="84"/>
        <v>0.10099811712417744</v>
      </c>
      <c r="AJ308" s="2">
        <f>0.121584456858774*(8350/2783.333)</f>
        <v>0.36475341425936536</v>
      </c>
      <c r="AK308" s="2">
        <f>0.320160329909824*(8350/2783.333)</f>
        <v>0.96048110475714821</v>
      </c>
      <c r="AL308" s="2">
        <f>0.311575761271004*(8350/2783.333)</f>
        <v>0.93472739575641206</v>
      </c>
      <c r="AM308" s="2">
        <f>0.269020309422426*(8350/2783.333)</f>
        <v>0.80706102492129406</v>
      </c>
      <c r="AN308" s="2">
        <f>0.327635511593113*(8350/2783.333)</f>
        <v>0.98290665249271014</v>
      </c>
      <c r="AO308" s="2">
        <f>0.11118361803521*(8350/2783.333)</f>
        <v>0.33355089405184396</v>
      </c>
      <c r="AP308" s="2">
        <f>0.189574309735259*(8350/2783.333)</f>
        <v>0.56872299731631559</v>
      </c>
      <c r="AQ308" s="2">
        <f>0.30372446642444*(8350/2783.333)</f>
        <v>0.91117350839589639</v>
      </c>
      <c r="AR308" s="2">
        <f>0.769168431555559*(8350/2783.333)</f>
        <v>2.3075055710146493</v>
      </c>
      <c r="AS308" s="2">
        <f>0.154030400874786*(8350/2783.333)</f>
        <v>0.46209125796462902</v>
      </c>
      <c r="AT308" s="2">
        <f>0.202806496671743*(8350/2783.333)</f>
        <v>0.608419562879847</v>
      </c>
      <c r="AU308" s="2">
        <f>0.241662802932021*(8350/2783.333)</f>
        <v>0.72498849562103307</v>
      </c>
      <c r="AV308" s="2">
        <f>0.214530307388771*(8350/2783.333)</f>
        <v>0.64359099924308083</v>
      </c>
      <c r="AW308" s="2">
        <f>0.0862656333462277*(8350/2783.333)</f>
        <v>0.25879693103232743</v>
      </c>
    </row>
    <row r="309" spans="1:49" x14ac:dyDescent="0.25">
      <c r="A309" s="5">
        <v>45931</v>
      </c>
      <c r="B309" s="2">
        <f>0.247021791099901*(8350/2783.333)</f>
        <v>0.74106546205005652</v>
      </c>
      <c r="C309" s="2">
        <f>0.237885768542765*(8350/2783.333)</f>
        <v>0.7136573910962466</v>
      </c>
      <c r="D309" s="2">
        <f>0.160788349646995*(8350/2783.333)</f>
        <v>0.48236510670926186</v>
      </c>
      <c r="E309" s="2">
        <f>0.214038382298926*(8350/2783.333)</f>
        <v>0.64211522379680608</v>
      </c>
      <c r="F309" s="2">
        <f>0.193725985565232*(8350/2783.333)</f>
        <v>0.58117802629785398</v>
      </c>
      <c r="G309" s="2">
        <f>0.235479109739537*(8350/2783.333)</f>
        <v>0.70643741382189262</v>
      </c>
      <c r="H309" s="2">
        <f>0.227766429083507*(8350/2783.333)</f>
        <v>0.68329936908277988</v>
      </c>
      <c r="I309" s="2">
        <f>0.226003764800813*(8350/2783.333)</f>
        <v>0.67801137560140523</v>
      </c>
      <c r="J309" s="2">
        <f>0.192114404095103*(8350/2783.333)</f>
        <v>0.57634328130845525</v>
      </c>
      <c r="K309" s="2">
        <f>0.249843084837252*(8350/2783.333)</f>
        <v>0.74952934427574958</v>
      </c>
      <c r="L309" s="2">
        <f>0.253376777087476*(8350/2783.333)</f>
        <v>0.76013042229601002</v>
      </c>
      <c r="M309" s="2">
        <f>0.40134346687504*(8350/2783.333)</f>
        <v>1.2040305448203943</v>
      </c>
      <c r="N309" s="2">
        <f>0.260037507038849*(8350/2783.333)</f>
        <v>0.78011261454320768</v>
      </c>
      <c r="O309" s="2">
        <f>0.451453393799484*(8350/2783.333)</f>
        <v>1.3543603435972968</v>
      </c>
      <c r="P309" s="2">
        <f>0.335801935965224*(8350/2783.333)</f>
        <v>1.0074059285430892</v>
      </c>
      <c r="Q309" s="2">
        <f>0.792389206747822*(8350/2783.333)</f>
        <v>2.3771679049342316</v>
      </c>
      <c r="R309" s="2">
        <f>0.644248252097288*(8350/2783.333)</f>
        <v>1.9327449877583296</v>
      </c>
      <c r="S309" s="2">
        <f>0.141292867714471*(8350/2783.333)</f>
        <v>0.42387865390732515</v>
      </c>
      <c r="T309" s="2">
        <f t="shared" si="69"/>
        <v>0.10069243236843764</v>
      </c>
      <c r="U309" s="2">
        <f t="shared" si="70"/>
        <v>0.11437794326585224</v>
      </c>
      <c r="V309" s="2">
        <f t="shared" si="71"/>
        <v>0.11043877033537902</v>
      </c>
      <c r="W309" s="2">
        <f t="shared" si="72"/>
        <v>0.10705744606724045</v>
      </c>
      <c r="X309" s="2">
        <f t="shared" si="73"/>
        <v>0.11728533803050227</v>
      </c>
      <c r="Y309" s="2">
        <f t="shared" si="74"/>
        <v>0.10928020503416074</v>
      </c>
      <c r="Z309" s="2">
        <f t="shared" si="75"/>
        <v>0.10579568013572224</v>
      </c>
      <c r="AA309" s="2">
        <f t="shared" si="76"/>
        <v>0.11798772791544039</v>
      </c>
      <c r="AB309" s="2">
        <f t="shared" si="77"/>
        <v>0.10026757173055721</v>
      </c>
      <c r="AC309" s="2">
        <f t="shared" si="78"/>
        <v>0.1151901624778385</v>
      </c>
      <c r="AD309" s="2">
        <f t="shared" si="79"/>
        <v>0.10227444344259566</v>
      </c>
      <c r="AE309" s="2">
        <f t="shared" si="80"/>
        <v>0.10987695088187602</v>
      </c>
      <c r="AF309" s="2">
        <f t="shared" si="81"/>
        <v>0.11908712371493149</v>
      </c>
      <c r="AG309" s="2">
        <f t="shared" si="82"/>
        <v>9.9235315312320327E-2</v>
      </c>
      <c r="AH309" s="2">
        <f t="shared" si="83"/>
        <v>0.1199891551819615</v>
      </c>
      <c r="AI309" s="2">
        <f t="shared" si="84"/>
        <v>0.10099811712417744</v>
      </c>
      <c r="AJ309" s="2">
        <f>0.121887659993085*(8350/2783.333)</f>
        <v>0.36566302377123416</v>
      </c>
      <c r="AK309" s="2">
        <f>0.234124735636304*(8350/2783.333)</f>
        <v>0.70237429102559235</v>
      </c>
      <c r="AL309" s="2">
        <f>0.150326681867837*(8350/2783.333)</f>
        <v>0.45098009961310254</v>
      </c>
      <c r="AM309" s="2">
        <f>0.206226871105152*(8350/2783.333)</f>
        <v>0.61868068740895266</v>
      </c>
      <c r="AN309" s="2">
        <f>0.240990670138631*(8350/2783.333)</f>
        <v>0.72297209699937703</v>
      </c>
      <c r="AO309" s="2">
        <f>0.171924198626257*(8350/2783.333)</f>
        <v>0.51577265764795222</v>
      </c>
      <c r="AP309" s="2">
        <f>0.122940105961881*(8350/2783.333)</f>
        <v>0.36882036205574775</v>
      </c>
      <c r="AQ309" s="2">
        <f>0.133991105935155*(8350/2783.333)</f>
        <v>0.40197336594598637</v>
      </c>
      <c r="AR309" s="2">
        <f>0.454738779666739*(8350/2783.333)</f>
        <v>1.3642165023794397</v>
      </c>
      <c r="AS309" s="2">
        <f>0.276064925158672*(8350/2783.333)</f>
        <v>0.82819487466103081</v>
      </c>
      <c r="AT309" s="2">
        <f>0.195756634620906*(8350/2783.333)</f>
        <v>0.58726997419445237</v>
      </c>
      <c r="AU309" s="2">
        <f>0.106981817358376*(8350/2783.333)</f>
        <v>0.32094549051171306</v>
      </c>
      <c r="AV309" s="2">
        <f>0.0957254367987442*(8350/2783.333)</f>
        <v>0.28717634478860926</v>
      </c>
      <c r="AW309" s="2">
        <f>0.118129515933573*(8350/2783.333)</f>
        <v>0.35438859024246605</v>
      </c>
    </row>
    <row r="310" spans="1:49" x14ac:dyDescent="0.25">
      <c r="A310" s="5">
        <v>45932</v>
      </c>
      <c r="B310" s="2">
        <f>0.287647303057729*(8350/2783.333)</f>
        <v>0.86294201251953617</v>
      </c>
      <c r="C310" s="2">
        <f>0.285943499561506*(8350/2783.333)</f>
        <v>0.85783060141872103</v>
      </c>
      <c r="D310" s="2">
        <f>0.206951428134454*(8350/2783.333)</f>
        <v>0.62085435875717654</v>
      </c>
      <c r="E310" s="2">
        <f>0.2381292824711*(8350/2783.333)</f>
        <v>0.71438793296874081</v>
      </c>
      <c r="F310" s="2">
        <f>0.181618111467405*(8350/2783.333)</f>
        <v>0.54485439965423776</v>
      </c>
      <c r="G310" s="2">
        <f>0.225529288201246*(8350/2783.333)</f>
        <v>0.67658794563223512</v>
      </c>
      <c r="H310" s="2">
        <f>0.20293654582912*(8350/2783.333)</f>
        <v>0.60880971039870346</v>
      </c>
      <c r="I310" s="2">
        <f>0.195714600446065*(8350/2783.333)</f>
        <v>0.58714387165482507</v>
      </c>
      <c r="J310" s="2">
        <f>0.184588272800655*(8350/2783.333)</f>
        <v>0.55376488472111352</v>
      </c>
      <c r="K310" s="2">
        <f>0.238319923691719*(8350/2783.333)</f>
        <v>0.71495985669909068</v>
      </c>
      <c r="L310" s="2">
        <f>0.246719915948888*(8350/2783.333)</f>
        <v>0.74015983648856087</v>
      </c>
      <c r="M310" s="2">
        <f>0.255079986081941*(8350/2783.333)</f>
        <v>0.76524004989133743</v>
      </c>
      <c r="N310" s="2">
        <f>0.188724190714559*(8350/2783.333)</f>
        <v>0.56617263994878231</v>
      </c>
      <c r="O310" s="2">
        <f>0.224975526527364*(8350/2783.333)</f>
        <v>0.67492666041163119</v>
      </c>
      <c r="P310" s="2">
        <f>0.355199993883626*(8350/2783.333)</f>
        <v>1.0656001092676572</v>
      </c>
      <c r="Q310" s="2">
        <f>0.350443559889066*(8350/2783.333)</f>
        <v>1.0513308055750796</v>
      </c>
      <c r="R310" s="2">
        <f>0.349851737129665*(8350/2783.333)</f>
        <v>1.0495553370842459</v>
      </c>
      <c r="S310" s="2">
        <f>0.0768867404465881*(8350/2783.333)</f>
        <v>0.23066024896374621</v>
      </c>
      <c r="T310" s="2">
        <f t="shared" si="69"/>
        <v>0.10069243236843764</v>
      </c>
      <c r="U310" s="2">
        <f t="shared" si="70"/>
        <v>0.11437794326585224</v>
      </c>
      <c r="V310" s="2">
        <f t="shared" si="71"/>
        <v>0.11043877033537902</v>
      </c>
      <c r="W310" s="2">
        <f t="shared" si="72"/>
        <v>0.10705744606724045</v>
      </c>
      <c r="X310" s="2">
        <f t="shared" si="73"/>
        <v>0.11728533803050227</v>
      </c>
      <c r="Y310" s="2">
        <f t="shared" si="74"/>
        <v>0.10928020503416074</v>
      </c>
      <c r="Z310" s="2">
        <f t="shared" si="75"/>
        <v>0.10579568013572224</v>
      </c>
      <c r="AA310" s="2">
        <f t="shared" si="76"/>
        <v>0.11798772791544039</v>
      </c>
      <c r="AB310" s="2">
        <f t="shared" si="77"/>
        <v>0.10026757173055721</v>
      </c>
      <c r="AC310" s="2">
        <f t="shared" si="78"/>
        <v>0.1151901624778385</v>
      </c>
      <c r="AD310" s="2">
        <f t="shared" si="79"/>
        <v>0.10227444344259566</v>
      </c>
      <c r="AE310" s="2">
        <f t="shared" si="80"/>
        <v>0.10987695088187602</v>
      </c>
      <c r="AF310" s="2">
        <f t="shared" si="81"/>
        <v>0.11908712371493149</v>
      </c>
      <c r="AG310" s="2">
        <f t="shared" si="82"/>
        <v>9.9235315312320327E-2</v>
      </c>
      <c r="AH310" s="2">
        <f t="shared" si="83"/>
        <v>0.1199891551819615</v>
      </c>
      <c r="AI310" s="2">
        <f t="shared" si="84"/>
        <v>0.10099811712417744</v>
      </c>
      <c r="AJ310" s="2">
        <f>0.0880805105173911*(8350/2783.333)</f>
        <v>0.2642415631978694</v>
      </c>
      <c r="AK310" s="2">
        <f>0.357632278635224*(8350/2783.333)</f>
        <v>1.0728969643963269</v>
      </c>
      <c r="AL310" s="2">
        <f>0.246041376059021*(8350/2783.333)</f>
        <v>0.73812421657517369</v>
      </c>
      <c r="AM310" s="2">
        <f>0.304713421729087*(8350/2783.333)</f>
        <v>0.9141403746651513</v>
      </c>
      <c r="AN310" s="2">
        <f>0.33322550136437*(8350/2783.333)</f>
        <v>0.99967662381486033</v>
      </c>
      <c r="AO310" s="2">
        <f>0.111482097546714*(8350/2783.333)</f>
        <v>0.33444633269359414</v>
      </c>
      <c r="AP310" s="2">
        <f>0.450946974036332*(8350/2783.333)</f>
        <v>1.3528410841258935</v>
      </c>
      <c r="AQ310" s="2">
        <f>0.180574613055467*(8350/2783.333)</f>
        <v>0.54172390404351645</v>
      </c>
      <c r="AR310" s="2">
        <f>0.210218681548525*(8350/2783.333)</f>
        <v>0.63065612017325401</v>
      </c>
      <c r="AS310" s="2">
        <f>0.174128313306256*(8350/2783.333)</f>
        <v>0.52238500247984643</v>
      </c>
      <c r="AT310" s="2">
        <f>0.113617544214647*(8350/2783.333)</f>
        <v>0.34085267346461928</v>
      </c>
      <c r="AU310" s="2">
        <f>0.0952055242848182*(8350/2783.333)</f>
        <v>0.28561660706003622</v>
      </c>
      <c r="AV310" s="2">
        <f>0.0777575554578796*(8350/2783.333)</f>
        <v>0.23327269431048842</v>
      </c>
      <c r="AW310" s="2">
        <f>0.0767841853568225*(8350/2783.333)</f>
        <v>0.23035258365760317</v>
      </c>
    </row>
    <row r="311" spans="1:49" x14ac:dyDescent="0.25">
      <c r="A311" s="5">
        <v>45933</v>
      </c>
      <c r="B311" s="2">
        <f>0.233012993873063*(8350/2783.333)</f>
        <v>0.69903906533644267</v>
      </c>
      <c r="C311" s="2">
        <f>0.240288655093702*(8350/2783.333)</f>
        <v>0.72086605161237061</v>
      </c>
      <c r="D311" s="2">
        <f>0.192476564540929*(8350/2783.333)</f>
        <v>0.57742976277605074</v>
      </c>
      <c r="E311" s="2">
        <f>0.223304113134378*(8350/2783.333)</f>
        <v>0.66991241963216508</v>
      </c>
      <c r="F311" s="2">
        <f>0.181227534883604*(8350/2783.333)</f>
        <v>0.54368266976250812</v>
      </c>
      <c r="G311" s="2">
        <f>0.19141561435568*(8350/2783.333)</f>
        <v>0.57424691183912402</v>
      </c>
      <c r="H311" s="2">
        <f>0.230631415612859*(8350/2783.333)</f>
        <v>0.69189432970017339</v>
      </c>
      <c r="I311" s="2">
        <f>0.225071790512974*(8350/2783.333)</f>
        <v>0.6752154524030487</v>
      </c>
      <c r="J311" s="2">
        <f>0.186964945841007*(8350/2783.333)</f>
        <v>0.56089490469606318</v>
      </c>
      <c r="K311" s="2">
        <f>0.246700404524834*(8350/2783.333)</f>
        <v>0.74010130220938841</v>
      </c>
      <c r="L311" s="2">
        <f>0.257121261477931*(8350/2783.333)</f>
        <v>0.77136387681269947</v>
      </c>
      <c r="M311" s="2">
        <f>0.393854071774188*(8350/2783.333)</f>
        <v>1.1815623568270388</v>
      </c>
      <c r="N311" s="2">
        <f>0.255703548588202*(8350/2783.333)</f>
        <v>0.76711073763415449</v>
      </c>
      <c r="O311" s="2">
        <f>0.191924030142709*(8350/2783.333)</f>
        <v>0.57577215938287785</v>
      </c>
      <c r="P311" s="2">
        <f>0.209067957564998*(8350/2783.333)</f>
        <v>0.62720394780924049</v>
      </c>
      <c r="Q311" s="2">
        <f>0.281109504298632*(8350/2783.333)</f>
        <v>0.84332861389333502</v>
      </c>
      <c r="R311" s="2">
        <f>0.370321785578742*(8350/2783.333)</f>
        <v>1.1109654897859842</v>
      </c>
      <c r="S311" s="2">
        <f>0.0759622505814989*(8350/2783.333)</f>
        <v>0.2278867790363264</v>
      </c>
      <c r="T311" s="2">
        <f t="shared" si="69"/>
        <v>0.10069243236843764</v>
      </c>
      <c r="U311" s="2">
        <f t="shared" si="70"/>
        <v>0.11437794326585224</v>
      </c>
      <c r="V311" s="2">
        <f t="shared" si="71"/>
        <v>0.11043877033537902</v>
      </c>
      <c r="W311" s="2">
        <f t="shared" si="72"/>
        <v>0.10705744606724045</v>
      </c>
      <c r="X311" s="2">
        <f t="shared" si="73"/>
        <v>0.11728533803050227</v>
      </c>
      <c r="Y311" s="2">
        <f t="shared" si="74"/>
        <v>0.10928020503416074</v>
      </c>
      <c r="Z311" s="2">
        <f t="shared" si="75"/>
        <v>0.10579568013572224</v>
      </c>
      <c r="AA311" s="2">
        <f t="shared" si="76"/>
        <v>0.11798772791544039</v>
      </c>
      <c r="AB311" s="2">
        <f t="shared" si="77"/>
        <v>0.10026757173055721</v>
      </c>
      <c r="AC311" s="2">
        <f t="shared" si="78"/>
        <v>0.1151901624778385</v>
      </c>
      <c r="AD311" s="2">
        <f t="shared" si="79"/>
        <v>0.10227444344259566</v>
      </c>
      <c r="AE311" s="2">
        <f t="shared" si="80"/>
        <v>0.10987695088187602</v>
      </c>
      <c r="AF311" s="2">
        <f t="shared" si="81"/>
        <v>0.11908712371493149</v>
      </c>
      <c r="AG311" s="2">
        <f t="shared" si="82"/>
        <v>9.9235315312320327E-2</v>
      </c>
      <c r="AH311" s="2">
        <f t="shared" si="83"/>
        <v>0.1199891551819615</v>
      </c>
      <c r="AI311" s="2">
        <f t="shared" si="84"/>
        <v>0.10099811712417744</v>
      </c>
      <c r="AJ311" s="2">
        <f>0.018343789625825*(8350/2783.333)</f>
        <v>5.5031375468058856E-2</v>
      </c>
      <c r="AK311" s="2">
        <f>0.396902880899444*(8350/2783.333)</f>
        <v>1.1907087852981877</v>
      </c>
      <c r="AL311" s="2">
        <f>0.298353911622972*(8350/2783.333)</f>
        <v>0.89506184206195094</v>
      </c>
      <c r="AM311" s="2">
        <f>0.252165228610948*(8350/2783.333)</f>
        <v>0.7564957764311393</v>
      </c>
      <c r="AN311" s="2">
        <f>0.218630711053603*(8350/2783.333)</f>
        <v>0.65589221171077539</v>
      </c>
      <c r="AO311" s="2">
        <f>0.101184554399828*(8350/2783.333)</f>
        <v>0.30355369955322198</v>
      </c>
      <c r="AP311" s="2">
        <f>0.112944975395875*(8350/2783.333)</f>
        <v>0.33883496676666264</v>
      </c>
      <c r="AQ311" s="2">
        <f>0.177186721628536*(8350/2783.333)</f>
        <v>0.53156022854551443</v>
      </c>
      <c r="AR311" s="2">
        <f>0.25824066474609*(8350/2783.333)</f>
        <v>0.77472208701935852</v>
      </c>
      <c r="AS311" s="2">
        <f>0.193904659138823*(8350/2783.333)</f>
        <v>0.58171404708282104</v>
      </c>
      <c r="AT311" s="2">
        <f>0.120175555424727*(8350/2783.333)</f>
        <v>0.36052670945103305</v>
      </c>
      <c r="AU311" s="2">
        <f>0.0983569266566153*(8350/2783.333)</f>
        <v>0.2950708153076681</v>
      </c>
      <c r="AV311" s="2">
        <f>0.065365913153835*(8350/2783.333)</f>
        <v>0.1960977629462671</v>
      </c>
      <c r="AW311" s="2">
        <f>0.079581989681565*(8350/2783.333)</f>
        <v>0.23874599763702997</v>
      </c>
    </row>
    <row r="312" spans="1:49" x14ac:dyDescent="0.25">
      <c r="A312" s="5">
        <v>45934</v>
      </c>
      <c r="B312" s="2">
        <f>0.204528439511827*(8350/2783.333)</f>
        <v>0.61358539201876117</v>
      </c>
      <c r="C312" s="2">
        <f>0.233560572751079*(8350/2783.333)</f>
        <v>0.70068180216722431</v>
      </c>
      <c r="D312" s="2">
        <f>0.188955651774936*(8350/2783.333)</f>
        <v>0.56686702321307425</v>
      </c>
      <c r="E312" s="2">
        <f>0.227010405468558*(8350/2783.333)</f>
        <v>0.68103129796630901</v>
      </c>
      <c r="F312" s="2">
        <f>0.194897715316634*(8350/2783.333)</f>
        <v>0.58469321597304225</v>
      </c>
      <c r="G312" s="2">
        <f>0.230741099483208*(8350/2783.333)</f>
        <v>0.69222338135062722</v>
      </c>
      <c r="H312" s="2">
        <f>0.229676420103075*(8350/2783.333)</f>
        <v>0.68902934282770922</v>
      </c>
      <c r="I312" s="2">
        <f>0.229731661952166*(8350/2783.333)</f>
        <v>0.68919506839483013</v>
      </c>
      <c r="J312" s="2">
        <f>0.198848311042766*(8350/2783.333)</f>
        <v>0.59654500457081283</v>
      </c>
      <c r="K312" s="2">
        <f>0.250890644941392*(8350/2783.333)</f>
        <v>0.75267202496453733</v>
      </c>
      <c r="L312" s="2">
        <f>0.258369422941416*(8350/2783.333)</f>
        <v>0.77510836165159569</v>
      </c>
      <c r="M312" s="2">
        <f>0.263891039141766*(8350/2783.333)</f>
        <v>0.79167321223646103</v>
      </c>
      <c r="N312" s="2">
        <f>0.23442775255775*(8350/2783.333)</f>
        <v>0.70328334189880082</v>
      </c>
      <c r="O312" s="2">
        <f>0.185914667163681*(8350/2783.333)</f>
        <v>0.55774406828674039</v>
      </c>
      <c r="P312" s="2">
        <f>0.205188345981318*(8350/2783.333)</f>
        <v>0.61556511166432659</v>
      </c>
      <c r="Q312" s="2">
        <f>0.621648199103351*(8350/2783.333)</f>
        <v>1.8649448206567367</v>
      </c>
      <c r="R312" s="2">
        <f>0.210655407675948*(8350/2783.333)</f>
        <v>0.63196629871242915</v>
      </c>
      <c r="S312" s="2">
        <f>0.133434703861213*(8350/2783.333)</f>
        <v>0.40030415952425691</v>
      </c>
      <c r="T312" s="2">
        <f t="shared" si="69"/>
        <v>0.10069243236843764</v>
      </c>
      <c r="U312" s="2">
        <f t="shared" si="70"/>
        <v>0.11437794326585224</v>
      </c>
      <c r="V312" s="2">
        <f t="shared" si="71"/>
        <v>0.11043877033537902</v>
      </c>
      <c r="W312" s="2">
        <f t="shared" si="72"/>
        <v>0.10705744606724045</v>
      </c>
      <c r="X312" s="2">
        <f t="shared" si="73"/>
        <v>0.11728533803050227</v>
      </c>
      <c r="Y312" s="2">
        <f t="shared" si="74"/>
        <v>0.10928020503416074</v>
      </c>
      <c r="Z312" s="2">
        <f t="shared" si="75"/>
        <v>0.10579568013572224</v>
      </c>
      <c r="AA312" s="2">
        <f t="shared" si="76"/>
        <v>0.11798772791544039</v>
      </c>
      <c r="AB312" s="2">
        <f t="shared" si="77"/>
        <v>0.10026757173055721</v>
      </c>
      <c r="AC312" s="2">
        <f t="shared" si="78"/>
        <v>0.1151901624778385</v>
      </c>
      <c r="AD312" s="2">
        <f t="shared" si="79"/>
        <v>0.10227444344259566</v>
      </c>
      <c r="AE312" s="2">
        <f t="shared" si="80"/>
        <v>0.10987695088187602</v>
      </c>
      <c r="AF312" s="2">
        <f t="shared" si="81"/>
        <v>0.11908712371493149</v>
      </c>
      <c r="AG312" s="2">
        <f t="shared" si="82"/>
        <v>9.9235315312320327E-2</v>
      </c>
      <c r="AH312" s="2">
        <f t="shared" si="83"/>
        <v>0.1199891551819615</v>
      </c>
      <c r="AI312" s="2">
        <f t="shared" si="84"/>
        <v>0.10099811712417744</v>
      </c>
      <c r="AJ312" s="2">
        <f>0.018343789625825*(8350/2783.333)</f>
        <v>5.5031375468058856E-2</v>
      </c>
      <c r="AK312" s="2">
        <f>0.0050961850266545*(8350/2783.333)</f>
        <v>1.5288556910928387E-2</v>
      </c>
      <c r="AL312" s="2">
        <f>0.0589234603879666*(8350/2783.333)</f>
        <v>0.17677040233400779</v>
      </c>
      <c r="AM312" s="2">
        <f>0.16590687386985*(8350/2783.333)</f>
        <v>0.49772068121681784</v>
      </c>
      <c r="AN312" s="2">
        <f>0.20900350644755*(8350/2783.333)</f>
        <v>0.62701059443373786</v>
      </c>
      <c r="AO312" s="2">
        <f>0.153418468913014*(8350/2783.333)</f>
        <v>0.46025546185945715</v>
      </c>
      <c r="AP312" s="2">
        <f>0.144762807697663*(8350/2783.333)</f>
        <v>0.43428847510358359</v>
      </c>
      <c r="AQ312" s="2">
        <f>0.117390437943188*(8350/2783.333)</f>
        <v>0.35217135600577582</v>
      </c>
      <c r="AR312" s="2">
        <f>0.104700990577004*(8350/2783.333)</f>
        <v>0.31410300934813978</v>
      </c>
      <c r="AS312" s="2">
        <f>0.19728110842731*(8350/2783.333)</f>
        <v>0.59184339616137738</v>
      </c>
      <c r="AT312" s="2">
        <f>0.197887988264183*(8350/2783.333)</f>
        <v>0.59366403589003713</v>
      </c>
      <c r="AU312" s="2">
        <f>0.0907272156512118*(8350/2783.333)</f>
        <v>0.27218167955024358</v>
      </c>
      <c r="AV312" s="2">
        <f>0.0878257648299158*(8350/2783.333)</f>
        <v>0.26347732604391816</v>
      </c>
      <c r="AW312" s="2">
        <f>0.0784939546663873*(8350/2783.333)</f>
        <v>0.23548189220058624</v>
      </c>
    </row>
    <row r="313" spans="1:49" x14ac:dyDescent="0.25">
      <c r="A313" s="5">
        <v>45935</v>
      </c>
      <c r="B313" s="2">
        <f>0.231145154242818*(8350/2783.333)</f>
        <v>0.6934355457746274</v>
      </c>
      <c r="C313" s="2">
        <f>0.252303087848388*(8350/2783.333)</f>
        <v>0.75690935419298966</v>
      </c>
      <c r="D313" s="2">
        <f>0.203821727898016*(8350/2783.333)</f>
        <v>0.6114652569234198</v>
      </c>
      <c r="E313" s="2">
        <f>0.240909001721735*(8350/2783.333)</f>
        <v>0.72272709171934857</v>
      </c>
      <c r="F313" s="2">
        <f>0.167166777866773*(8350/2783.333)</f>
        <v>0.5015003936602449</v>
      </c>
      <c r="G313" s="2">
        <f>0.239743318970232*(8350/2783.333)</f>
        <v>0.71923004304603133</v>
      </c>
      <c r="H313" s="2">
        <f>0.239226375200916*(8350/2783.333)</f>
        <v>0.71767921155235448</v>
      </c>
      <c r="I313" s="2">
        <f>0.228333700520409*(8350/2783.333)</f>
        <v>0.685001183597296</v>
      </c>
      <c r="J313" s="2">
        <f>0.194094964962062*(8350/2783.333)</f>
        <v>0.5822849646209135</v>
      </c>
      <c r="K313" s="2">
        <f>0.250366864889322*(8350/2783.333)</f>
        <v>0.7511006846201439</v>
      </c>
      <c r="L313" s="2">
        <f>0.266274445543488*(8350/2783.333)</f>
        <v>0.79882343229794162</v>
      </c>
      <c r="M313" s="2">
        <f>0.270058776283644*(8350/2783.333)</f>
        <v>0.81017642587804806</v>
      </c>
      <c r="N313" s="2">
        <f>0.205666028294363*(8350/2783.333)</f>
        <v>0.61699815877508257</v>
      </c>
      <c r="O313" s="2">
        <f>0.186290252349871*(8350/2783.333)</f>
        <v>0.55887082398024912</v>
      </c>
      <c r="P313" s="2">
        <f>0.467277661856615*(8350/2783.333)</f>
        <v>1.4018331534540545</v>
      </c>
      <c r="Q313" s="2">
        <f>0.387704719015898*(8350/2783.333)</f>
        <v>1.1631142963428205</v>
      </c>
      <c r="R313" s="2">
        <f>0.526266336490794*(8350/2783.333)</f>
        <v>1.5787991985501317</v>
      </c>
      <c r="S313" s="2">
        <f>0.317100023725608*(8350/2783.333)</f>
        <v>0.95130018510498893</v>
      </c>
      <c r="T313" s="2">
        <f t="shared" si="69"/>
        <v>0.10069243236843764</v>
      </c>
      <c r="U313" s="2">
        <f t="shared" si="70"/>
        <v>0.11437794326585224</v>
      </c>
      <c r="V313" s="2">
        <f t="shared" si="71"/>
        <v>0.11043877033537902</v>
      </c>
      <c r="W313" s="2">
        <f t="shared" si="72"/>
        <v>0.10705744606724045</v>
      </c>
      <c r="X313" s="2">
        <f t="shared" si="73"/>
        <v>0.11728533803050227</v>
      </c>
      <c r="Y313" s="2">
        <f t="shared" si="74"/>
        <v>0.10928020503416074</v>
      </c>
      <c r="Z313" s="2">
        <f t="shared" si="75"/>
        <v>0.10579568013572224</v>
      </c>
      <c r="AA313" s="2">
        <f t="shared" si="76"/>
        <v>0.11798772791544039</v>
      </c>
      <c r="AB313" s="2">
        <f t="shared" si="77"/>
        <v>0.10026757173055721</v>
      </c>
      <c r="AC313" s="2">
        <f t="shared" si="78"/>
        <v>0.1151901624778385</v>
      </c>
      <c r="AD313" s="2">
        <f t="shared" si="79"/>
        <v>0.10227444344259566</v>
      </c>
      <c r="AE313" s="2">
        <f t="shared" si="80"/>
        <v>0.10987695088187602</v>
      </c>
      <c r="AF313" s="2">
        <f t="shared" si="81"/>
        <v>0.11908712371493149</v>
      </c>
      <c r="AG313" s="2">
        <f t="shared" si="82"/>
        <v>9.9235315312320327E-2</v>
      </c>
      <c r="AH313" s="2">
        <f t="shared" si="83"/>
        <v>0.1199891551819615</v>
      </c>
      <c r="AI313" s="2">
        <f t="shared" si="84"/>
        <v>0.10099811712417744</v>
      </c>
      <c r="AJ313" s="2">
        <f>0.110669144023572*(8350/2783.333)</f>
        <v>0.33200747183209073</v>
      </c>
      <c r="AK313" s="2">
        <f>0.0914315548899777*(8350/2783.333)</f>
        <v>0.27429469751959756</v>
      </c>
      <c r="AL313" s="2">
        <f>0.14745236672696*(8350/2783.333)</f>
        <v>0.44235715315778512</v>
      </c>
      <c r="AM313" s="2">
        <f>0.291163258723781*(8350/2783.333)</f>
        <v>0.87348988078090961</v>
      </c>
      <c r="AN313" s="2">
        <f>0.251549539706561*(8350/2783.333)</f>
        <v>0.75464870949677265</v>
      </c>
      <c r="AO313" s="2">
        <f>0.119391804601567*(8350/2783.333)</f>
        <v>0.35817545669996675</v>
      </c>
      <c r="AP313" s="2">
        <f>0.132435479999588*(8350/2783.333)</f>
        <v>0.39730648758037868</v>
      </c>
      <c r="AQ313" s="2">
        <f>0.133313527649768*(8350/2783.333)</f>
        <v>0.39994063084638615</v>
      </c>
      <c r="AR313" s="2">
        <f>0.125445180597721*(8350/2783.333)</f>
        <v>0.37633558686329377</v>
      </c>
      <c r="AS313" s="2">
        <f>0.125089406973469*(8350/2783.333)</f>
        <v>0.37526826586271517</v>
      </c>
      <c r="AT313" s="2">
        <f>0.124930113552036*(8350/2783.333)</f>
        <v>0.37479038554118321</v>
      </c>
      <c r="AU313" s="2">
        <f>0.4951018989376*(8350/2783.333)</f>
        <v>1.4853058746937422</v>
      </c>
      <c r="AV313" s="2">
        <f>0.236215681420849*(8350/2783.333)</f>
        <v>0.70864712913046779</v>
      </c>
      <c r="AW313" s="2">
        <f>0.0890634376709702*(8350/2783.333)</f>
        <v>0.2671903450117542</v>
      </c>
    </row>
    <row r="314" spans="1:49" x14ac:dyDescent="0.25">
      <c r="A314" s="5">
        <v>45936</v>
      </c>
      <c r="B314" s="2">
        <f>0.253559229805758*(8350/2783.333)</f>
        <v>0.76067778051640944</v>
      </c>
      <c r="C314" s="2">
        <f>0.239327500473327*(8350/2783.333)</f>
        <v>0.71798258740592102</v>
      </c>
      <c r="D314" s="2">
        <f>0.192867777070483*(8350/2783.333)</f>
        <v>0.57860340050527059</v>
      </c>
      <c r="E314" s="2">
        <f>0.234422990136919*(8350/2783.333)</f>
        <v>0.70326905463459699</v>
      </c>
      <c r="F314" s="2">
        <f>0.187867336808218*(8350/2783.333)</f>
        <v>0.5636020779219103</v>
      </c>
      <c r="G314" s="2">
        <f>0.233583905637005*(8350/2783.333)</f>
        <v>0.70075180083338662</v>
      </c>
      <c r="H314" s="2">
        <f>0.217261478475882*(8350/2783.333)</f>
        <v>0.6517845134856709</v>
      </c>
      <c r="I314" s="2">
        <f>0.228333700520409*(8350/2783.333)</f>
        <v>0.685001183597296</v>
      </c>
      <c r="J314" s="2">
        <f>0.184192160627263*(8350/2783.333)</f>
        <v>0.55257654805862166</v>
      </c>
      <c r="K314" s="2">
        <f>0.233082123171022*(8350/2783.333)</f>
        <v>0.699246453255155</v>
      </c>
      <c r="L314" s="2">
        <f>0.261697853510709*(8350/2783.333)</f>
        <v>0.78509365455531999</v>
      </c>
      <c r="M314" s="2">
        <f>0.409713967281874*(8350/2783.333)</f>
        <v>1.2291420490482623</v>
      </c>
      <c r="N314" s="2">
        <f>0.263583473043924*(8350/2783.333)</f>
        <v>0.79075051383243333</v>
      </c>
      <c r="O314" s="2">
        <f>0.691452327774418*(8350/2783.333)</f>
        <v>2.0743572317492709</v>
      </c>
      <c r="P314" s="2">
        <f>0.744023288159149*(8350/2783.333)</f>
        <v>2.2320701317912341</v>
      </c>
      <c r="Q314" s="2">
        <f>0.367894988847203*(8350/2783.333)</f>
        <v>1.1036850987194644</v>
      </c>
      <c r="R314" s="2">
        <f>0.196512465111131*(8350/2783.333)</f>
        <v>0.58953746593668299</v>
      </c>
      <c r="S314" s="2">
        <f>0.0502306160031818*(8350/2783.333)</f>
        <v>0.15069186605647547</v>
      </c>
      <c r="T314" s="2">
        <f t="shared" si="69"/>
        <v>0.10069243236843764</v>
      </c>
      <c r="U314" s="2">
        <f t="shared" si="70"/>
        <v>0.11437794326585224</v>
      </c>
      <c r="V314" s="2">
        <f t="shared" si="71"/>
        <v>0.11043877033537902</v>
      </c>
      <c r="W314" s="2">
        <f t="shared" si="72"/>
        <v>0.10705744606724045</v>
      </c>
      <c r="X314" s="2">
        <f t="shared" si="73"/>
        <v>0.11728533803050227</v>
      </c>
      <c r="Y314" s="2">
        <f t="shared" si="74"/>
        <v>0.10928020503416074</v>
      </c>
      <c r="Z314" s="2">
        <f t="shared" si="75"/>
        <v>0.10579568013572224</v>
      </c>
      <c r="AA314" s="2">
        <f t="shared" si="76"/>
        <v>0.11798772791544039</v>
      </c>
      <c r="AB314" s="2">
        <f t="shared" si="77"/>
        <v>0.10026757173055721</v>
      </c>
      <c r="AC314" s="2">
        <f t="shared" si="78"/>
        <v>0.1151901624778385</v>
      </c>
      <c r="AD314" s="2">
        <f t="shared" si="79"/>
        <v>0.10227444344259566</v>
      </c>
      <c r="AE314" s="2">
        <f t="shared" si="80"/>
        <v>0.10987695088187602</v>
      </c>
      <c r="AF314" s="2">
        <f t="shared" si="81"/>
        <v>0.11908712371493149</v>
      </c>
      <c r="AG314" s="2">
        <f t="shared" si="82"/>
        <v>9.9235315312320327E-2</v>
      </c>
      <c r="AH314" s="2">
        <f t="shared" si="83"/>
        <v>0.1199891551819615</v>
      </c>
      <c r="AI314" s="2">
        <f t="shared" si="84"/>
        <v>0.10099811712417744</v>
      </c>
      <c r="AJ314" s="2">
        <f>0.149175942081089*(8350/2783.333)</f>
        <v>0.44752787983942088</v>
      </c>
      <c r="AK314" s="2">
        <f>0.115413602074234*(8350/2783.333)</f>
        <v>0.34624084768867208</v>
      </c>
      <c r="AL314" s="2">
        <f>0.353828193841887*(8350/2783.333)</f>
        <v>1.0614847086495784</v>
      </c>
      <c r="AM314" s="2">
        <f>0.193668183441698*(8350/2783.333)</f>
        <v>0.581004619906485</v>
      </c>
      <c r="AN314" s="2">
        <f>0.2499967647701*(8350/2783.333)</f>
        <v>0.74999038412950891</v>
      </c>
      <c r="AO314" s="2">
        <f>0.095662683437006*(8350/2783.333)</f>
        <v>0.28698808468084852</v>
      </c>
      <c r="AP314" s="2">
        <f>0.107780824603438*(8350/2783.333)</f>
        <v>0.32334251253396851</v>
      </c>
      <c r="AQ314" s="2">
        <f>0.203273485615911*(8350/2783.333)</f>
        <v>0.60982052988013147</v>
      </c>
      <c r="AR314" s="2">
        <f>0.418803962308017*(8350/2783.333)</f>
        <v>1.2564120373925591</v>
      </c>
      <c r="AS314" s="2">
        <f>0.556792566001445*(8350/2783.333)</f>
        <v>1.6703778980495925</v>
      </c>
      <c r="AT314" s="2">
        <f>0.217562021894424*(8350/2783.333)</f>
        <v>0.65268614384927837</v>
      </c>
      <c r="AU314" s="2">
        <f>0.208158419821336*(8350/2783.333)</f>
        <v>0.6244753342514725</v>
      </c>
      <c r="AV314" s="2">
        <f>0.107032810401185*(8350/2783.333)</f>
        <v>0.32109846965846095</v>
      </c>
      <c r="AW314" s="2">
        <f>0.0808254582703394*(8350/2783.333)</f>
        <v>0.24247640385010857</v>
      </c>
    </row>
    <row r="315" spans="1:49" x14ac:dyDescent="0.25">
      <c r="A315" s="5">
        <v>45937</v>
      </c>
      <c r="B315" s="2">
        <f>0.223206835814277*(8350/2783.333)</f>
        <v>0.66962058763691301</v>
      </c>
      <c r="C315" s="2">
        <f>0.234041150061266*(8350/2783.333)</f>
        <v>0.70212353427044938</v>
      </c>
      <c r="D315" s="2">
        <f>0.182305038772506*(8350/2783.333)</f>
        <v>0.54691518181634069</v>
      </c>
      <c r="E315" s="2">
        <f>0.190410768668525*(8350/2783.333)</f>
        <v>0.57123237441663932</v>
      </c>
      <c r="F315" s="2">
        <f>0.186305030473015*(8350/2783.333)</f>
        <v>0.55891515835499239</v>
      </c>
      <c r="G315" s="2">
        <f>0.225529288201246*(8350/2783.333)</f>
        <v>0.67658794563223512</v>
      </c>
      <c r="H315" s="2">
        <f>0.224901442554155*(8350/2783.333)</f>
        <v>0.67470440846538693</v>
      </c>
      <c r="I315" s="2">
        <f>0.217615996210267*(8350/2783.333)</f>
        <v>0.65284806681619789</v>
      </c>
      <c r="J315" s="2">
        <f>0.190529955401535*(8350/2783.333)</f>
        <v>0.57158993465848851</v>
      </c>
      <c r="K315" s="2">
        <f>0.238319923691719*(8350/2783.333)</f>
        <v>0.71495985669909068</v>
      </c>
      <c r="L315" s="2">
        <f>0.24963229269702*(8350/2783.333)</f>
        <v>0.74889696777931991</v>
      </c>
      <c r="M315" s="2">
        <f>0.26168827587681*(8350/2783.333)</f>
        <v>0.78506492165018049</v>
      </c>
      <c r="N315" s="2">
        <f>0.182814247372767*(8350/2783.333)</f>
        <v>0.54844280780007326</v>
      </c>
      <c r="O315" s="2">
        <f>0.386477156588743*(8350/2783.333)</f>
        <v>1.1594316086203149</v>
      </c>
      <c r="P315" s="2">
        <f>0.383650478830615*(8350/2783.333)</f>
        <v>1.1509515743303584</v>
      </c>
      <c r="Q315" s="2">
        <f>0.508449740996519*(8350/2783.333)</f>
        <v>1.5253494056661321</v>
      </c>
      <c r="R315" s="2">
        <f>0.735433013370446*(8350/2783.333)</f>
        <v>2.2062993043387982</v>
      </c>
      <c r="S315" s="2">
        <f>0.177964299029678*(8350/2783.333)</f>
        <v>0.53389296102831019</v>
      </c>
      <c r="T315" s="2">
        <f t="shared" si="69"/>
        <v>0.10069243236843764</v>
      </c>
      <c r="U315" s="2">
        <f t="shared" si="70"/>
        <v>0.11437794326585224</v>
      </c>
      <c r="V315" s="2">
        <f t="shared" si="71"/>
        <v>0.11043877033537902</v>
      </c>
      <c r="W315" s="2">
        <f t="shared" si="72"/>
        <v>0.10705744606724045</v>
      </c>
      <c r="X315" s="2">
        <f t="shared" si="73"/>
        <v>0.11728533803050227</v>
      </c>
      <c r="Y315" s="2">
        <f t="shared" si="74"/>
        <v>0.10928020503416074</v>
      </c>
      <c r="Z315" s="2">
        <f t="shared" si="75"/>
        <v>0.10579568013572224</v>
      </c>
      <c r="AA315" s="2">
        <f t="shared" si="76"/>
        <v>0.11798772791544039</v>
      </c>
      <c r="AB315" s="2">
        <f t="shared" si="77"/>
        <v>0.10026757173055721</v>
      </c>
      <c r="AC315" s="2">
        <f t="shared" si="78"/>
        <v>0.1151901624778385</v>
      </c>
      <c r="AD315" s="2">
        <f t="shared" si="79"/>
        <v>0.10227444344259566</v>
      </c>
      <c r="AE315" s="2">
        <f t="shared" si="80"/>
        <v>0.10987695088187602</v>
      </c>
      <c r="AF315" s="2">
        <f t="shared" si="81"/>
        <v>0.11908712371493149</v>
      </c>
      <c r="AG315" s="2">
        <f t="shared" si="82"/>
        <v>9.9235315312320327E-2</v>
      </c>
      <c r="AH315" s="2">
        <f t="shared" si="83"/>
        <v>0.1199891551819615</v>
      </c>
      <c r="AI315" s="2">
        <f t="shared" si="84"/>
        <v>0.10099811712417744</v>
      </c>
      <c r="AJ315" s="2">
        <f>0.104301878203038*(8350/2783.333)</f>
        <v>0.3129056720828472</v>
      </c>
      <c r="AK315" s="2">
        <f>0.140894527207507*(8350/2783.333)</f>
        <v>0.42268363224331401</v>
      </c>
      <c r="AL315" s="2">
        <f>0.153200997008713*(8350/2783.333)</f>
        <v>0.45960304606842023</v>
      </c>
      <c r="AM315" s="2">
        <f>0.190032773854908*(8350/2783.333)</f>
        <v>0.57009838983998029</v>
      </c>
      <c r="AN315" s="2">
        <f>0.224531255812152*(8350/2783.333)</f>
        <v>0.67359384810637846</v>
      </c>
      <c r="AO315" s="2">
        <f>0.122078120205103*(8350/2783.333)</f>
        <v>0.36623440447571609</v>
      </c>
      <c r="AP315" s="2">
        <f>0.232553371169088*(8350/2783.333)</f>
        <v>0.6976601970593822</v>
      </c>
      <c r="AQ315" s="2">
        <f>0.151777535926547*(8350/2783.333)</f>
        <v>0.45533266231049818</v>
      </c>
      <c r="AR315" s="2">
        <f>0.235536393778534*(8350/2783.333)</f>
        <v>0.70660926595946527</v>
      </c>
      <c r="AS315" s="2">
        <f>0.162873482344633*(8350/2783.333)</f>
        <v>0.48862050555132447</v>
      </c>
      <c r="AT315" s="2">
        <f>0.191657877614606*(8350/2783.333)</f>
        <v>0.57497370170294326</v>
      </c>
      <c r="AU315" s="2">
        <f>0.136007891835455*(8350/2783.333)</f>
        <v>0.40802372437148021</v>
      </c>
      <c r="AV315" s="2">
        <f>0.0859670184843091*(8350/2783.333)</f>
        <v>0.25790108633928499</v>
      </c>
      <c r="AW315" s="2">
        <f>0.076317884636032*(8350/2783.333)</f>
        <v>0.22895368132769867</v>
      </c>
    </row>
    <row r="316" spans="1:49" x14ac:dyDescent="0.25">
      <c r="A316" s="5">
        <v>45938</v>
      </c>
      <c r="B316" s="2">
        <f>0.230678194335257*(8350/2783.333)</f>
        <v>0.69203466588417384</v>
      </c>
      <c r="C316" s="2">
        <f>0.232599418130704*(8350/2783.333)</f>
        <v>0.69779833796077495</v>
      </c>
      <c r="D316" s="2">
        <f>0.18269625130206*(8350/2783.333)</f>
        <v>0.54808881954556044</v>
      </c>
      <c r="E316" s="2">
        <f>0.219597820800197*(8350/2783.333)</f>
        <v>0.65879354129802103</v>
      </c>
      <c r="F316" s="2">
        <f>0.185523877305413*(8350/2783.333)</f>
        <v>0.55657169857153321</v>
      </c>
      <c r="G316" s="2">
        <f>0.221738879996183*(8350/2783.333)</f>
        <v>0.66521671965522255</v>
      </c>
      <c r="H316" s="2">
        <f>0.224423944799263*(8350/2783.333)</f>
        <v>0.67327191502915484</v>
      </c>
      <c r="I316" s="2">
        <f>0.191054729006873*(8350/2783.333)</f>
        <v>0.5731642556630433</v>
      </c>
      <c r="J316" s="2">
        <f>0.180627151066735*(8350/2783.333)</f>
        <v>0.54188151809619667</v>
      </c>
      <c r="K316" s="2">
        <f>0.245652844420694*(8350/2783.333)</f>
        <v>0.73695862152060099</v>
      </c>
      <c r="L316" s="2">
        <f>0.363631039695326*(8350/2783.333)</f>
        <v>1.0908932497318755</v>
      </c>
      <c r="M316" s="2">
        <f>0.268296565671678*(8350/2783.333)</f>
        <v>0.80488979340902267</v>
      </c>
      <c r="N316" s="2">
        <f>0.263583473043924*(8350/2783.333)</f>
        <v>0.79075051383243333</v>
      </c>
      <c r="O316" s="2">
        <f>0.451077808613295*(8350/2783.333)</f>
        <v>1.3532335879037884</v>
      </c>
      <c r="P316" s="2">
        <f>0.303902907388297*(8350/2783.333)</f>
        <v>0.91170883135157588</v>
      </c>
      <c r="Q316" s="2">
        <f>0.650891134114282*(8350/2783.333)</f>
        <v>1.9526736361959758</v>
      </c>
      <c r="R316" s="2">
        <f>0.556413135115797*(8350/2783.333)</f>
        <v>1.6692396052563272</v>
      </c>
      <c r="S316" s="2">
        <f>0.148688786635185*(8350/2783.333)</f>
        <v>0.44606641332668351</v>
      </c>
      <c r="T316" s="2">
        <f t="shared" si="69"/>
        <v>0.10069243236843764</v>
      </c>
      <c r="U316" s="2">
        <f t="shared" si="70"/>
        <v>0.11437794326585224</v>
      </c>
      <c r="V316" s="2">
        <f t="shared" si="71"/>
        <v>0.11043877033537902</v>
      </c>
      <c r="W316" s="2">
        <f t="shared" si="72"/>
        <v>0.10705744606724045</v>
      </c>
      <c r="X316" s="2">
        <f t="shared" si="73"/>
        <v>0.11728533803050227</v>
      </c>
      <c r="Y316" s="2">
        <f t="shared" si="74"/>
        <v>0.10928020503416074</v>
      </c>
      <c r="Z316" s="2">
        <f t="shared" si="75"/>
        <v>0.10579568013572224</v>
      </c>
      <c r="AA316" s="2">
        <f t="shared" si="76"/>
        <v>0.11798772791544039</v>
      </c>
      <c r="AB316" s="2">
        <f t="shared" si="77"/>
        <v>0.10026757173055721</v>
      </c>
      <c r="AC316" s="2">
        <f t="shared" si="78"/>
        <v>0.1151901624778385</v>
      </c>
      <c r="AD316" s="2">
        <f t="shared" si="79"/>
        <v>0.10227444344259566</v>
      </c>
      <c r="AE316" s="2">
        <f t="shared" si="80"/>
        <v>0.10987695088187602</v>
      </c>
      <c r="AF316" s="2">
        <f t="shared" si="81"/>
        <v>0.11908712371493149</v>
      </c>
      <c r="AG316" s="2">
        <f t="shared" si="82"/>
        <v>9.9235315312320327E-2</v>
      </c>
      <c r="AH316" s="2">
        <f t="shared" si="83"/>
        <v>0.1199891551819615</v>
      </c>
      <c r="AI316" s="2">
        <f t="shared" si="84"/>
        <v>0.10099811712417744</v>
      </c>
      <c r="AJ316" s="2">
        <f>0.0609438299965425*(8350/2783.333)</f>
        <v>0.18283151188561708</v>
      </c>
      <c r="AK316" s="2">
        <f>0.213440219939882*(8350/2783.333)</f>
        <v>0.64032073650476562</v>
      </c>
      <c r="AL316" s="2">
        <f>0.219310245248871*(8350/2783.333)</f>
        <v>0.65793081454072155</v>
      </c>
      <c r="AM316" s="2">
        <f>0.214489165620583*(8350/2783.333)</f>
        <v>0.64346757392373477</v>
      </c>
      <c r="AN316" s="2">
        <f>0.354964350474813*(8350/2783.333)</f>
        <v>1.0648931789565568</v>
      </c>
      <c r="AO316" s="2">
        <f>0.11192981681397*(8350/2783.333)</f>
        <v>0.33578949065621905</v>
      </c>
      <c r="AP316" s="2">
        <f>0.121274250867547*(8350/2783.333)</f>
        <v>0.36382279617423369</v>
      </c>
      <c r="AQ316" s="2">
        <f>0.111800417088751*(8350/2783.333)</f>
        <v>0.33540129143407232</v>
      </c>
      <c r="AR316" s="2">
        <f>0.190454532001228*(8350/2783.333)</f>
        <v>0.57136366443046926</v>
      </c>
      <c r="AS316" s="2">
        <f>0.199853641218538*(8350/2783.333)</f>
        <v>0.59956099545932573</v>
      </c>
      <c r="AT316" s="2">
        <f>0.185919617805785*(8350/2783.333)</f>
        <v>0.55775892021483142</v>
      </c>
      <c r="AU316" s="2">
        <f>0.111294262709256*(8350/2783.333)</f>
        <v>0.33388282811373576</v>
      </c>
      <c r="AV316" s="2">
        <f>0.0938666904531375*(8350/2783.333)</f>
        <v>0.28160010508397604</v>
      </c>
      <c r="AW316" s="2">
        <f>0.115642578756024*(8350/2783.333)</f>
        <v>0.34692777781630885</v>
      </c>
    </row>
    <row r="317" spans="1:49" x14ac:dyDescent="0.25">
      <c r="A317" s="5">
        <v>45939</v>
      </c>
      <c r="B317" s="2">
        <f>0.289982102595535*(8350/2783.333)</f>
        <v>0.86994641197180533</v>
      </c>
      <c r="C317" s="2">
        <f>0.336404117131183*(8350/2783.333)</f>
        <v>1.0092124722573186</v>
      </c>
      <c r="D317" s="2">
        <f>0.261721182272116*(8350/2783.333)</f>
        <v>0.78516364084792289</v>
      </c>
      <c r="E317" s="2">
        <f>0.272875773104042*(8350/2783.333)</f>
        <v>0.81862741735133882</v>
      </c>
      <c r="F317" s="2">
        <f>0.189429643143422*(8350/2783.333)</f>
        <v>0.56828899748882888</v>
      </c>
      <c r="G317" s="2">
        <f>0.235479109739537*(8350/2783.333)</f>
        <v>0.70643741382189262</v>
      </c>
      <c r="H317" s="2">
        <f>0.225856438063939*(8350/2783.333)</f>
        <v>0.67756939533785143</v>
      </c>
      <c r="I317" s="2">
        <f>0.230197649096085*(8350/2783.333)</f>
        <v>0.69059302999400829</v>
      </c>
      <c r="J317" s="2">
        <f>0.187361058014399*(8350/2783.333)</f>
        <v>0.5620832413585547</v>
      </c>
      <c r="K317" s="2">
        <f>0.251938205045531*(8350/2783.333)</f>
        <v>0.7558147056533242</v>
      </c>
      <c r="L317" s="2">
        <f>0.256289153835607*(8350/2783.333)</f>
        <v>0.76886755358676806</v>
      </c>
      <c r="M317" s="2">
        <f>0.229527932208448*(8350/2783.333)</f>
        <v>0.68858387909047802</v>
      </c>
      <c r="N317" s="2">
        <f>0.200150081175356*(8350/2783.333)</f>
        <v>0.60045031543628691</v>
      </c>
      <c r="O317" s="2">
        <f>0.450326638240917*(8350/2783.333)</f>
        <v>1.3509800765167719</v>
      </c>
      <c r="P317" s="2">
        <f>0.431499021696007*(8350/2783.333)</f>
        <v>1.2944972201176272</v>
      </c>
      <c r="Q317" s="2">
        <f>0.436757384195525*(8350/2783.333)</f>
        <v>1.3102723095054156</v>
      </c>
      <c r="R317" s="2">
        <f>0.628988761435249*(8350/2783.333)</f>
        <v>1.886966510289761</v>
      </c>
      <c r="S317" s="2">
        <f>0.207393893068352*(8350/2783.333)</f>
        <v>0.62218175371784024</v>
      </c>
      <c r="T317" s="2">
        <f t="shared" si="69"/>
        <v>0.10069243236843764</v>
      </c>
      <c r="U317" s="2">
        <f t="shared" si="70"/>
        <v>0.11437794326585224</v>
      </c>
      <c r="V317" s="2">
        <f t="shared" si="71"/>
        <v>0.11043877033537902</v>
      </c>
      <c r="W317" s="2">
        <f t="shared" si="72"/>
        <v>0.10705744606724045</v>
      </c>
      <c r="X317" s="2">
        <f t="shared" si="73"/>
        <v>0.11728533803050227</v>
      </c>
      <c r="Y317" s="2">
        <f t="shared" si="74"/>
        <v>0.10928020503416074</v>
      </c>
      <c r="Z317" s="2">
        <f t="shared" si="75"/>
        <v>0.10579568013572224</v>
      </c>
      <c r="AA317" s="2">
        <f t="shared" si="76"/>
        <v>0.11798772791544039</v>
      </c>
      <c r="AB317" s="2">
        <f t="shared" si="77"/>
        <v>0.10026757173055721</v>
      </c>
      <c r="AC317" s="2">
        <f t="shared" si="78"/>
        <v>0.1151901624778385</v>
      </c>
      <c r="AD317" s="2">
        <f t="shared" si="79"/>
        <v>0.10227444344259566</v>
      </c>
      <c r="AE317" s="2">
        <f t="shared" si="80"/>
        <v>0.10987695088187602</v>
      </c>
      <c r="AF317" s="2">
        <f t="shared" si="81"/>
        <v>0.11908712371493149</v>
      </c>
      <c r="AG317" s="2">
        <f t="shared" si="82"/>
        <v>9.9235315312320327E-2</v>
      </c>
      <c r="AH317" s="2">
        <f t="shared" si="83"/>
        <v>0.1199891551819615</v>
      </c>
      <c r="AI317" s="2">
        <f t="shared" si="84"/>
        <v>0.10099811712417744</v>
      </c>
      <c r="AJ317" s="2">
        <f>0.0855032838757463*(8350/2783.333)</f>
        <v>0.25650988234698519</v>
      </c>
      <c r="AK317" s="2">
        <f>0.3834129793583*(8350/2783.333)</f>
        <v>1.1502390758280829</v>
      </c>
      <c r="AL317" s="2">
        <f>0.251215143312599*(8350/2783.333)</f>
        <v>0.7536455201947454</v>
      </c>
      <c r="AM317" s="2">
        <f>0.456739640813014*(8350/2783.333)</f>
        <v>1.3702190865371362</v>
      </c>
      <c r="AN317" s="2">
        <f>0.327324956605821*(8350/2783.333)</f>
        <v>0.98197498741925726</v>
      </c>
      <c r="AO317" s="2">
        <f>0.190728407851004*(8350/2783.333)</f>
        <v>0.57218529207819691</v>
      </c>
      <c r="AP317" s="2">
        <f>0.123273276980748*(8350/2783.333)</f>
        <v>0.36981987523205062</v>
      </c>
      <c r="AQ317" s="2">
        <f>0.129925636222836*(8350/2783.333)</f>
        <v>0.38977695534838408</v>
      </c>
      <c r="AR317" s="2">
        <f>0.217568985099173*(8350/2783.333)</f>
        <v>0.6527070334660251</v>
      </c>
      <c r="AS317" s="2">
        <f>0.136344237935093*(8350/2783.333)</f>
        <v>0.40903276279123713</v>
      </c>
      <c r="AT317" s="2">
        <f>0.185591717245281*(8350/2783.333)</f>
        <v>0.55677521841551081</v>
      </c>
      <c r="AU317" s="2">
        <f>0.0971958836775322*(8350/2783.333)</f>
        <v>0.29158768595327739</v>
      </c>
      <c r="AV317" s="2">
        <f>0.0755890180546718*(8350/2783.333)</f>
        <v>0.22676708132174966</v>
      </c>
      <c r="AW317" s="2">
        <f>0.0679244716618045*(8350/2783.333)</f>
        <v>0.20377343938941814</v>
      </c>
    </row>
    <row r="318" spans="1:49" x14ac:dyDescent="0.25">
      <c r="A318" s="5">
        <v>45940</v>
      </c>
      <c r="B318" s="2">
        <f>0.233012993873063*(8350/2783.333)</f>
        <v>0.69903906533644267</v>
      </c>
      <c r="C318" s="2">
        <f>0.233560572751079*(8350/2783.333)</f>
        <v>0.70068180216722431</v>
      </c>
      <c r="D318" s="2">
        <f>0.196388689836476*(8350/2783.333)</f>
        <v>0.58916614006824741</v>
      </c>
      <c r="E318" s="2">
        <f>0.232106557428057*(8350/2783.333)</f>
        <v>0.69631975567575732</v>
      </c>
      <c r="F318" s="2">
        <f>0.190991949478626*(8350/2783.333)</f>
        <v>0.57297591705574735</v>
      </c>
      <c r="G318" s="2">
        <f>0.242112324098397*(8350/2783.333)</f>
        <v>0.72633705928166392</v>
      </c>
      <c r="H318" s="2">
        <f>0.246388841524297*(8350/2783.333)</f>
        <v>0.73916661309583775</v>
      </c>
      <c r="I318" s="2">
        <f>0.238119430542712*(8350/2783.333)</f>
        <v>0.71435837718003692</v>
      </c>
      <c r="J318" s="2">
        <f>0.194491077135454*(8350/2783.333)</f>
        <v>0.58347330128340458</v>
      </c>
      <c r="K318" s="2">
        <f>0.25350954520174*(8350/2783.333)</f>
        <v>0.76052872668650517</v>
      </c>
      <c r="L318" s="2">
        <f>0.261697853510709*(8350/2783.333)</f>
        <v>0.78509365455531999</v>
      </c>
      <c r="M318" s="2">
        <f>0.392972966468206*(8350/2783.333)</f>
        <v>1.1789190405925267</v>
      </c>
      <c r="N318" s="2">
        <f>0.264765461712283*(8350/2783.333)</f>
        <v>0.79429648026217514</v>
      </c>
      <c r="O318" s="2">
        <f>0.342158104618411*(8350/2783.333)</f>
        <v>1.0264744367863041</v>
      </c>
      <c r="P318" s="2">
        <f>0.350889314346203*(8350/2783.333)</f>
        <v>1.0526680691066417</v>
      </c>
      <c r="Q318" s="2">
        <f>0.482036767438258*(8350/2783.333)</f>
        <v>1.4461104755016578</v>
      </c>
      <c r="R318" s="2">
        <f>0.63271058842599*(8350/2783.333)</f>
        <v>1.8981319925991678</v>
      </c>
      <c r="S318" s="2">
        <f>0.117564294510514*(8350/2783.333)</f>
        <v>0.35269292577021694</v>
      </c>
      <c r="T318" s="2">
        <f t="shared" si="69"/>
        <v>0.10069243236843764</v>
      </c>
      <c r="U318" s="2">
        <f t="shared" si="70"/>
        <v>0.11437794326585224</v>
      </c>
      <c r="V318" s="2">
        <f t="shared" si="71"/>
        <v>0.11043877033537902</v>
      </c>
      <c r="W318" s="2">
        <f t="shared" si="72"/>
        <v>0.10705744606724045</v>
      </c>
      <c r="X318" s="2">
        <f t="shared" si="73"/>
        <v>0.11728533803050227</v>
      </c>
      <c r="Y318" s="2">
        <f t="shared" si="74"/>
        <v>0.10928020503416074</v>
      </c>
      <c r="Z318" s="2">
        <f t="shared" si="75"/>
        <v>0.10579568013572224</v>
      </c>
      <c r="AA318" s="2">
        <f t="shared" si="76"/>
        <v>0.11798772791544039</v>
      </c>
      <c r="AB318" s="2">
        <f t="shared" si="77"/>
        <v>0.10026757173055721</v>
      </c>
      <c r="AC318" s="2">
        <f t="shared" si="78"/>
        <v>0.1151901624778385</v>
      </c>
      <c r="AD318" s="2">
        <f t="shared" si="79"/>
        <v>0.10227444344259566</v>
      </c>
      <c r="AE318" s="2">
        <f t="shared" si="80"/>
        <v>0.10987695088187602</v>
      </c>
      <c r="AF318" s="2">
        <f t="shared" si="81"/>
        <v>0.11908712371493149</v>
      </c>
      <c r="AG318" s="2">
        <f t="shared" si="82"/>
        <v>9.9235315312320327E-2</v>
      </c>
      <c r="AH318" s="2">
        <f t="shared" si="83"/>
        <v>0.1199891551819615</v>
      </c>
      <c r="AI318" s="2">
        <f t="shared" si="84"/>
        <v>0.10099811712417744</v>
      </c>
      <c r="AJ318" s="2">
        <f>0.0327459385056049*(8350/2783.333)</f>
        <v>9.8237827281824106E-2</v>
      </c>
      <c r="AK318" s="2">
        <f>0.134599239821639*(8350/2783.333)</f>
        <v>0.40379776782393234</v>
      </c>
      <c r="AL318" s="2">
        <f>0.531748301062137*(8350/2783.333)</f>
        <v>1.5952450942337286</v>
      </c>
      <c r="AM318" s="2">
        <f>0.49309373668091*(8350/2783.333)</f>
        <v>1.4792813872021759</v>
      </c>
      <c r="AN318" s="2">
        <f>0.245648994948012*(8350/2783.333)</f>
        <v>0.73694707310116925</v>
      </c>
      <c r="AO318" s="2">
        <f>0.13401730066526*(8350/2783.333)</f>
        <v>0.40205195014571293</v>
      </c>
      <c r="AP318" s="2">
        <f>0.11127912030154*(8350/2783.333)</f>
        <v>0.33383740088514824</v>
      </c>
      <c r="AQ318" s="2">
        <f>0.136362629934007*(8350/2783.333)</f>
        <v>0.40908793879458794</v>
      </c>
      <c r="AR318" s="2">
        <f>0.242233337013568*(8350/2783.333)</f>
        <v>0.72670009807065705</v>
      </c>
      <c r="AS318" s="2">
        <f>0.1553166672704*(8350/2783.333)</f>
        <v>0.4659500576136027</v>
      </c>
      <c r="AT318" s="2">
        <f>0.172639645105372*(8350/2783.333)</f>
        <v>0.51791899734234359</v>
      </c>
      <c r="AU318" s="2">
        <f>0.10897217675109*(8350/2783.333)</f>
        <v>0.32691656940495439</v>
      </c>
      <c r="AV318" s="2">
        <f>0.0940215859819381*(8350/2783.333)</f>
        <v>0.28206479172602883</v>
      </c>
      <c r="AW318" s="2">
        <f>0.0985448856603754*(8350/2783.333)</f>
        <v>0.2956346923864786</v>
      </c>
    </row>
    <row r="319" spans="1:49" x14ac:dyDescent="0.25">
      <c r="A319" s="5">
        <v>45941</v>
      </c>
      <c r="B319" s="2">
        <f>0.220405076368909*(8350/2783.333)</f>
        <v>0.66121530829418962</v>
      </c>
      <c r="C319" s="2">
        <f>0.22779364502883*(8350/2783.333)</f>
        <v>0.68338101692852726</v>
      </c>
      <c r="D319" s="2">
        <f>0.166656537590316*(8350/2783.333)</f>
        <v>0.49996967264755637</v>
      </c>
      <c r="E319" s="2">
        <f>0.191800628293843*(8350/2783.333)</f>
        <v>0.57540195379194292</v>
      </c>
      <c r="F319" s="2">
        <f>0.177712345629396*(8350/2783.333)</f>
        <v>0.53313710073694254</v>
      </c>
      <c r="G319" s="2">
        <f>0.213210461534792*(8350/2783.333)</f>
        <v>0.63963146120694492</v>
      </c>
      <c r="H319" s="2">
        <f>0.20054905705466*(8350/2783.333)</f>
        <v>0.60164724321754259</v>
      </c>
      <c r="I319" s="2">
        <f>0.212490137627156*(8350/2783.333)</f>
        <v>0.63747048922523852</v>
      </c>
      <c r="J319" s="2">
        <f>0.17547769281264*(8350/2783.333)</f>
        <v>0.52643314148380516</v>
      </c>
      <c r="K319" s="2">
        <f>0.244081504264485*(8350/2783.333)</f>
        <v>0.73224460048742057</v>
      </c>
      <c r="L319" s="2">
        <f>0.24463964684308*(8350/2783.333)</f>
        <v>0.7339190284237338</v>
      </c>
      <c r="M319" s="2">
        <f>0.249352801593054*(8350/2783.333)</f>
        <v>0.74805849436700678</v>
      </c>
      <c r="N319" s="2">
        <f>0.227729816770386*(8350/2783.333)</f>
        <v>0.6831895321302639</v>
      </c>
      <c r="O319" s="2">
        <f>0.17652503750895*(8350/2783.333)</f>
        <v>0.52957517594902592</v>
      </c>
      <c r="P319" s="2">
        <f>0.20173980235138*(8350/2783.333)</f>
        <v>0.60521947953551447</v>
      </c>
      <c r="Q319" s="2">
        <f>0.201398923381738*(8350/2783.333)</f>
        <v>0.60419684250411732</v>
      </c>
      <c r="R319" s="2">
        <f>0.358784121907444*(8350/2783.333)</f>
        <v>1.0763524946268226</v>
      </c>
      <c r="S319" s="2">
        <f>0.0637898006911573*(8350/2783.333)</f>
        <v>0.19136942499196577</v>
      </c>
      <c r="T319" s="2">
        <f t="shared" si="69"/>
        <v>0.10069243236843764</v>
      </c>
      <c r="U319" s="2">
        <f t="shared" si="70"/>
        <v>0.11437794326585224</v>
      </c>
      <c r="V319" s="2">
        <f t="shared" si="71"/>
        <v>0.11043877033537902</v>
      </c>
      <c r="W319" s="2">
        <f t="shared" si="72"/>
        <v>0.10705744606724045</v>
      </c>
      <c r="X319" s="2">
        <f t="shared" si="73"/>
        <v>0.11728533803050227</v>
      </c>
      <c r="Y319" s="2">
        <f t="shared" si="74"/>
        <v>0.10928020503416074</v>
      </c>
      <c r="Z319" s="2">
        <f t="shared" si="75"/>
        <v>0.10579568013572224</v>
      </c>
      <c r="AA319" s="2">
        <f t="shared" si="76"/>
        <v>0.11798772791544039</v>
      </c>
      <c r="AB319" s="2">
        <f t="shared" si="77"/>
        <v>0.10026757173055721</v>
      </c>
      <c r="AC319" s="2">
        <f t="shared" si="78"/>
        <v>0.1151901624778385</v>
      </c>
      <c r="AD319" s="2">
        <f t="shared" si="79"/>
        <v>0.10227444344259566</v>
      </c>
      <c r="AE319" s="2">
        <f t="shared" si="80"/>
        <v>0.10987695088187602</v>
      </c>
      <c r="AF319" s="2">
        <f t="shared" si="81"/>
        <v>0.11908712371493149</v>
      </c>
      <c r="AG319" s="2">
        <f t="shared" si="82"/>
        <v>9.9235315312320327E-2</v>
      </c>
      <c r="AH319" s="2">
        <f t="shared" si="83"/>
        <v>0.1199891551819615</v>
      </c>
      <c r="AI319" s="2">
        <f t="shared" si="84"/>
        <v>0.10099811712417744</v>
      </c>
      <c r="AJ319" s="2">
        <f>0.116126800441173*(8350/2783.333)</f>
        <v>0.34838044304572774</v>
      </c>
      <c r="AK319" s="2">
        <f>0.116312928843644*(8350/2783.333)</f>
        <v>0.34893882832001266</v>
      </c>
      <c r="AL319" s="2">
        <f>0.0859420227122049*(8350/2783.333)</f>
        <v>0.25782609901399184</v>
      </c>
      <c r="AM319" s="2">
        <f>0.197303593028487*(8350/2783.333)</f>
        <v>0.59191084997298882</v>
      </c>
      <c r="AN319" s="2">
        <f>0.245959549935304*(8350/2783.333)</f>
        <v>0.73787873817462224</v>
      </c>
      <c r="AO319" s="2">
        <f>0.112079056569722*(8350/2783.333)</f>
        <v>0.33623720997709411</v>
      </c>
      <c r="AP319" s="2">
        <f>0.135767190188257*(8350/2783.333)</f>
        <v>0.40730161934340681</v>
      </c>
      <c r="AQ319" s="2">
        <f>0.177864299913922*(8350/2783.333)</f>
        <v>0.53359296364511488</v>
      </c>
      <c r="AR319" s="2">
        <f>0.202378357761167*(8350/2783.333)</f>
        <v>0.60713514599429808</v>
      </c>
      <c r="AS319" s="2">
        <f>0.177665545894195*(8350/2783.333)</f>
        <v>0.53299670151452472</v>
      </c>
      <c r="AT319" s="2">
        <f>0.20985635872258*(8350/2783.333)</f>
        <v>0.62956915156524229</v>
      </c>
      <c r="AU319" s="2">
        <f>0.179629935192436*(8350/2783.333)</f>
        <v>0.53888987011501588</v>
      </c>
      <c r="AV319" s="2">
        <f>0.0850376453115058*(8350/2783.333)</f>
        <v>0.25511296648696841</v>
      </c>
      <c r="AW319" s="2">
        <f>0.0705668424129502*(8350/2783.333)</f>
        <v>0.21170055259221021</v>
      </c>
    </row>
    <row r="320" spans="1:49" x14ac:dyDescent="0.25">
      <c r="A320" s="5">
        <v>45942</v>
      </c>
      <c r="B320" s="2">
        <f>0.239083472671359*(8350/2783.333)</f>
        <v>0.7172505039123418</v>
      </c>
      <c r="C320" s="2">
        <f>0.234041150061266*(8350/2783.333)</f>
        <v>0.70212353427044938</v>
      </c>
      <c r="D320" s="2">
        <f>0.193258989600038*(8350/2783.333)</f>
        <v>0.57977703823449012</v>
      </c>
      <c r="E320" s="2">
        <f>0.213111809215381*(8350/2783.333)</f>
        <v>0.63933550421327012</v>
      </c>
      <c r="F320" s="2">
        <f>0.177712345629396*(8350/2783.333)</f>
        <v>0.53313710073694254</v>
      </c>
      <c r="G320" s="2">
        <f>0.200417833842704*(8350/2783.333)</f>
        <v>0.60125357353452824</v>
      </c>
      <c r="H320" s="2">
        <f>0.534797485479094*(8350/2783.333)</f>
        <v>1.6043926485801132</v>
      </c>
      <c r="I320" s="2">
        <f>0.273068466336652*(8350/2783.333)</f>
        <v>0.81920549711839841</v>
      </c>
      <c r="J320" s="2">
        <f>0.170328234558544*(8350/2783.333)</f>
        <v>0.51098476487141342</v>
      </c>
      <c r="K320" s="2">
        <f>0.221558962025488*(8350/2783.333)</f>
        <v>0.66467696567849543</v>
      </c>
      <c r="L320" s="2">
        <f>0.24713596977005*(8350/2783.333)</f>
        <v>0.74140799810152669</v>
      </c>
      <c r="M320" s="2">
        <f>0.252436670163993*(8350/2783.333)</f>
        <v>0.75731010118780007</v>
      </c>
      <c r="N320" s="2">
        <f>0.189118186937345*(8350/2783.333)</f>
        <v>0.5673546287586968</v>
      </c>
      <c r="O320" s="2">
        <f>0.545349690346798*(8350/2783.333)</f>
        <v>1.6360492669744386</v>
      </c>
      <c r="P320" s="2">
        <f>0.554353388512552*(8350/2783.333)</f>
        <v>1.6630603647065627</v>
      </c>
      <c r="Q320" s="2">
        <f>0.297617612772545*(8350/2783.333)</f>
        <v>0.89285294524613079</v>
      </c>
      <c r="R320" s="2">
        <f>0.46522837384264*(8350/2783.333)</f>
        <v>1.3956852886758586</v>
      </c>
      <c r="S320" s="2">
        <f>0.185514299594573*(8350/2783.333)</f>
        <v>0.55654296543557169</v>
      </c>
      <c r="T320" s="2">
        <f t="shared" si="69"/>
        <v>0.10069243236843764</v>
      </c>
      <c r="U320" s="2">
        <f t="shared" si="70"/>
        <v>0.11437794326585224</v>
      </c>
      <c r="V320" s="2">
        <f t="shared" si="71"/>
        <v>0.11043877033537902</v>
      </c>
      <c r="W320" s="2">
        <f t="shared" si="72"/>
        <v>0.10705744606724045</v>
      </c>
      <c r="X320" s="2">
        <f t="shared" si="73"/>
        <v>0.11728533803050227</v>
      </c>
      <c r="Y320" s="2">
        <f t="shared" si="74"/>
        <v>0.10928020503416074</v>
      </c>
      <c r="Z320" s="2">
        <f t="shared" si="75"/>
        <v>0.10579568013572224</v>
      </c>
      <c r="AA320" s="2">
        <f t="shared" si="76"/>
        <v>0.11798772791544039</v>
      </c>
      <c r="AB320" s="2">
        <f t="shared" si="77"/>
        <v>0.10026757173055721</v>
      </c>
      <c r="AC320" s="2">
        <f t="shared" si="78"/>
        <v>0.1151901624778385</v>
      </c>
      <c r="AD320" s="2">
        <f t="shared" si="79"/>
        <v>0.10227444344259566</v>
      </c>
      <c r="AE320" s="2">
        <f t="shared" si="80"/>
        <v>0.10987695088187602</v>
      </c>
      <c r="AF320" s="2">
        <f t="shared" si="81"/>
        <v>0.11908712371493149</v>
      </c>
      <c r="AG320" s="2">
        <f t="shared" si="82"/>
        <v>9.9235315312320327E-2</v>
      </c>
      <c r="AH320" s="2">
        <f t="shared" si="83"/>
        <v>0.1199891551819615</v>
      </c>
      <c r="AI320" s="2">
        <f t="shared" si="84"/>
        <v>0.10099811712417744</v>
      </c>
      <c r="AJ320" s="2">
        <f>0.0460868764152959*(8350/2783.333)</f>
        <v>0.13826064580404879</v>
      </c>
      <c r="AK320" s="2">
        <f>0.198451440449722*(8350/2783.333)</f>
        <v>0.59535439264909384</v>
      </c>
      <c r="AL320" s="2">
        <f>0.190854525354194*(8350/2783.333)</f>
        <v>0.57256364463307863</v>
      </c>
      <c r="AM320" s="2">
        <f>0.806730436486662*(8350/2783.333)</f>
        <v>2.4201915993032923</v>
      </c>
      <c r="AN320" s="2">
        <f>0.689742626775643*(8350/2783.333)</f>
        <v>2.0692281281386813</v>
      </c>
      <c r="AO320" s="2">
        <f>0.120585722647583*(8350/2783.333)</f>
        <v>0.36175721126696653</v>
      </c>
      <c r="AP320" s="2">
        <f>0.156923549886304*(8350/2783.333)</f>
        <v>0.47077070603863724</v>
      </c>
      <c r="AQ320" s="2">
        <f>0.273572232724747*(8350/2783.333)</f>
        <v>0.82071679646367668</v>
      </c>
      <c r="AR320" s="2">
        <f>0.178857386399095*(8350/2783.333)</f>
        <v>0.53657222345743061</v>
      </c>
      <c r="AS320" s="2">
        <f>0.144865752806036*(8350/2783.333)</f>
        <v>0.4345973104656895</v>
      </c>
      <c r="AT320" s="2">
        <f>0.13181602532262*(8350/2783.333)</f>
        <v>0.39544812332691792</v>
      </c>
      <c r="AU320" s="2">
        <f>0.105323184531114*(8350/2783.333)</f>
        <v>0.31596959143401221</v>
      </c>
      <c r="AV320" s="2">
        <f>0.078996719688284*(8350/2783.333)</f>
        <v>0.23699018744691047</v>
      </c>
      <c r="AW320" s="2">
        <f>0.0828460947270979*(8350/2783.333)</f>
        <v>0.24853831394636131</v>
      </c>
    </row>
    <row r="321" spans="1:49" x14ac:dyDescent="0.25">
      <c r="A321" s="5">
        <v>45943</v>
      </c>
      <c r="B321" s="2">
        <f>0.221805956091593*(8350/2783.333)</f>
        <v>0.66541794796555154</v>
      </c>
      <c r="C321" s="2">
        <f>0.22779364502883*(8350/2783.333)</f>
        <v>0.68338101692852726</v>
      </c>
      <c r="D321" s="2">
        <f>0.179957763595177*(8350/2783.333)</f>
        <v>0.539873355441023</v>
      </c>
      <c r="E321" s="2">
        <f>0.195970207169796*(8350/2783.333)</f>
        <v>0.58791069191785472</v>
      </c>
      <c r="F321" s="2">
        <f>0.169119660785777*(8350/2783.333)</f>
        <v>0.50735904311889246</v>
      </c>
      <c r="G321" s="2">
        <f>0.213684262560425*(8350/2783.333)</f>
        <v>0.64105286445407195</v>
      </c>
      <c r="H321" s="2">
        <f>0.230631415612859*(8350/2783.333)</f>
        <v>0.69189432970017339</v>
      </c>
      <c r="I321" s="2">
        <f>0.219479944785944*(8350/2783.333)</f>
        <v>0.65843991321291084</v>
      </c>
      <c r="J321" s="2">
        <f>0.246777884023194*(8350/2783.333)</f>
        <v>0.74033374073230396</v>
      </c>
      <c r="K321" s="2">
        <f>0.499162389622435*(8350/2783.333)</f>
        <v>1.4974873482071063</v>
      </c>
      <c r="L321" s="2">
        <f>0.282500544568794*(8350/2783.333)</f>
        <v>0.84750173520359717</v>
      </c>
      <c r="M321" s="2">
        <f>0.400902914222048*(8350/2783.333)</f>
        <v>1.2027088867031375</v>
      </c>
      <c r="N321" s="2">
        <f>0.262795480598352*(8350/2783.333)</f>
        <v>0.7883865362126059</v>
      </c>
      <c r="O321" s="2">
        <f>0.445068445634267*(8350/2783.333)</f>
        <v>1.3352054968076517</v>
      </c>
      <c r="P321" s="2">
        <f>0.853083480455942*(8350/2783.333)</f>
        <v>2.5592507478649207</v>
      </c>
      <c r="Q321" s="2">
        <f>0.844743493622231*(8350/2783.333)</f>
        <v>2.5342307843673866</v>
      </c>
      <c r="R321" s="2">
        <f>0.521055778703757*(8350/2783.333)</f>
        <v>1.5631675233169617</v>
      </c>
      <c r="S321" s="2">
        <f>0.341444923506291*(8350/2783.333)</f>
        <v>1.0243348931937106</v>
      </c>
      <c r="T321" s="2">
        <f t="shared" si="69"/>
        <v>0.10069243236843764</v>
      </c>
      <c r="U321" s="2">
        <f t="shared" si="70"/>
        <v>0.11437794326585224</v>
      </c>
      <c r="V321" s="2">
        <f t="shared" si="71"/>
        <v>0.11043877033537902</v>
      </c>
      <c r="W321" s="2">
        <f t="shared" si="72"/>
        <v>0.10705744606724045</v>
      </c>
      <c r="X321" s="2">
        <f t="shared" si="73"/>
        <v>0.11728533803050227</v>
      </c>
      <c r="Y321" s="2">
        <f t="shared" si="74"/>
        <v>0.10928020503416074</v>
      </c>
      <c r="Z321" s="2">
        <f t="shared" si="75"/>
        <v>0.10579568013572224</v>
      </c>
      <c r="AA321" s="2">
        <f t="shared" si="76"/>
        <v>0.11798772791544039</v>
      </c>
      <c r="AB321" s="2">
        <f t="shared" si="77"/>
        <v>0.10026757173055721</v>
      </c>
      <c r="AC321" s="2">
        <f t="shared" si="78"/>
        <v>0.1151901624778385</v>
      </c>
      <c r="AD321" s="2">
        <f t="shared" si="79"/>
        <v>0.10227444344259566</v>
      </c>
      <c r="AE321" s="2">
        <f t="shared" si="80"/>
        <v>0.10987695088187602</v>
      </c>
      <c r="AF321" s="2">
        <f t="shared" si="81"/>
        <v>0.11908712371493149</v>
      </c>
      <c r="AG321" s="2">
        <f t="shared" si="82"/>
        <v>9.9235315312320327E-2</v>
      </c>
      <c r="AH321" s="2">
        <f t="shared" si="83"/>
        <v>0.1199891551819615</v>
      </c>
      <c r="AI321" s="2">
        <f t="shared" si="84"/>
        <v>0.10099811712417744</v>
      </c>
      <c r="AJ321" s="2">
        <f>0.0930833622335252*(8350/2783.333)</f>
        <v>0.27925012014370371</v>
      </c>
      <c r="AK321" s="2">
        <f>0.231726530917878*(8350/2783.333)</f>
        <v>0.69517967600868524</v>
      </c>
      <c r="AL321" s="2">
        <f>0.13767969524798*(8350/2783.333)</f>
        <v>0.41303913520970592</v>
      </c>
      <c r="AM321" s="2">
        <f>0.295790143652422*(8350/2783.333)</f>
        <v>0.88737053722918713</v>
      </c>
      <c r="AN321" s="2">
        <f>0.334467721313538*(8350/2783.333)</f>
        <v>1.0034032841086717</v>
      </c>
      <c r="AO321" s="2">
        <f>0.127003032144917*(8350/2783.333)</f>
        <v>0.38100914206458958</v>
      </c>
      <c r="AP321" s="2">
        <f>0.131269381433554*(8350/2783.333)</f>
        <v>0.3938081914633188</v>
      </c>
      <c r="AQ321" s="2">
        <f>0.223939623320195*(8350/2783.333)</f>
        <v>0.67181895041794493</v>
      </c>
      <c r="AR321" s="2">
        <f>0.21691562478356*(8350/2783.333)</f>
        <v>0.65074695228444579</v>
      </c>
      <c r="AS321" s="2">
        <f>0.250661163845294*(8350/2783.333)</f>
        <v>0.75198358159379619</v>
      </c>
      <c r="AT321" s="2">
        <f>0.202150695550735*(8350/2783.333)</f>
        <v>0.60645215928120577</v>
      </c>
      <c r="AU321" s="2">
        <f>0.19024518528691*(8350/2783.333)</f>
        <v>0.57073562421230206</v>
      </c>
      <c r="AV321" s="2">
        <f>0.106568123814783*(8350/2783.333)</f>
        <v>0.31970440973230257</v>
      </c>
      <c r="AW321" s="2">
        <f>0.0791156889607746*(8350/2783.333)</f>
        <v>0.23734709530712556</v>
      </c>
    </row>
    <row r="322" spans="1:49" x14ac:dyDescent="0.25">
      <c r="A322" s="5">
        <v>45944</v>
      </c>
      <c r="B322" s="2">
        <f>0.228810354705012*(8350/2783.333)</f>
        <v>0.68643114632235824</v>
      </c>
      <c r="C322" s="2">
        <f>0.230196531579767*(8350/2783.333)</f>
        <v>0.69058967744465061</v>
      </c>
      <c r="D322" s="2">
        <f>0.193258989600038*(8350/2783.333)</f>
        <v>0.57977703823449012</v>
      </c>
      <c r="E322" s="2">
        <f>0.225620545843241*(8350/2783.333)</f>
        <v>0.67686171859100541</v>
      </c>
      <c r="F322" s="2">
        <f>0.186695607056816*(8350/2783.333)</f>
        <v>0.56008688824672204</v>
      </c>
      <c r="G322" s="2">
        <f>0.226950691278145*(8350/2783.333)</f>
        <v>0.68085215537361499</v>
      </c>
      <c r="H322" s="2">
        <f>0.222991451534586*(8350/2783.333)</f>
        <v>0.66897443472045803</v>
      </c>
      <c r="I322" s="2">
        <f>0.212024150483237*(8350/2783.333)</f>
        <v>0.63607252762606048</v>
      </c>
      <c r="J322" s="2">
        <f>0.166367112824625*(8350/2783.333)</f>
        <v>0.49910139824649691</v>
      </c>
      <c r="K322" s="2">
        <f>0.252461985097601*(8350/2783.333)</f>
        <v>0.75738604599771842</v>
      </c>
      <c r="L322" s="2">
        <f>0.24463964684308*(8350/2783.333)</f>
        <v>0.7339190284237338</v>
      </c>
      <c r="M322" s="2">
        <f>0.258604407305871*(8350/2783.333)</f>
        <v>0.77581331482938698</v>
      </c>
      <c r="N322" s="2">
        <f>0.263583473043924*(8350/2783.333)</f>
        <v>0.79075051383243333</v>
      </c>
      <c r="O322" s="2">
        <f>0.4788711123913*(8350/2783.333)</f>
        <v>1.4366135092234222</v>
      </c>
      <c r="P322" s="2">
        <f>0.377615527478224*(8350/2783.333)</f>
        <v>1.1328467181049371</v>
      </c>
      <c r="Q322" s="2">
        <f>0.427795839595401*(8350/2783.333)</f>
        <v>1.2833876724853264</v>
      </c>
      <c r="R322" s="2">
        <f>0.524777605694498*(8350/2783.333)</f>
        <v>1.5743330056263687</v>
      </c>
      <c r="S322" s="2">
        <f>0.339904107064475*(8350/2783.333)</f>
        <v>1.0197124433146771</v>
      </c>
      <c r="T322" s="2">
        <f t="shared" ref="T322:T365" si="85">0.0335641401031546*(8350/2783.333)</f>
        <v>0.10069243236843764</v>
      </c>
      <c r="U322" s="2">
        <f t="shared" ref="U322:U365" si="86">0.0381259765226317*(8350/2783.333)</f>
        <v>0.11437794326585224</v>
      </c>
      <c r="V322" s="2">
        <f t="shared" ref="V322:V365" si="87">0.036812919036393*(8350/2783.333)</f>
        <v>0.11043877033537902</v>
      </c>
      <c r="W322" s="2">
        <f t="shared" ref="W322:W365" si="88">0.0356858110819965*(8350/2783.333)</f>
        <v>0.10705744606724045</v>
      </c>
      <c r="X322" s="2">
        <f t="shared" ref="X322:X365" si="89">0.0390951079947847*(8350/2783.333)</f>
        <v>0.11728533803050227</v>
      </c>
      <c r="Y322" s="2">
        <f t="shared" ref="Y322:Y365" si="90">0.0364267306489037*(8350/2783.333)</f>
        <v>0.10928020503416074</v>
      </c>
      <c r="Z322" s="2">
        <f t="shared" ref="Z322:Z365" si="91">0.035265222488527*(8350/2783.333)</f>
        <v>0.10579568013572224</v>
      </c>
      <c r="AA322" s="2">
        <f t="shared" ref="AA322:AA365" si="92">0.0393292379283912*(8350/2783.333)</f>
        <v>0.11798772791544039</v>
      </c>
      <c r="AB322" s="2">
        <f t="shared" ref="AB322:AB365" si="93">0.0334225199074883*(8350/2783.333)</f>
        <v>0.10026757173055721</v>
      </c>
      <c r="AC322" s="2">
        <f t="shared" ref="AC322:AC365" si="94">0.0383967162275365*(8350/2783.333)</f>
        <v>0.1151901624778385</v>
      </c>
      <c r="AD322" s="2">
        <f t="shared" ref="AD322:AD365" si="95">0.0340914770647198*(8350/2783.333)</f>
        <v>0.10227444344259566</v>
      </c>
      <c r="AE322" s="2">
        <f t="shared" ref="AE322:AE365" si="96">0.0366256459076532*(8350/2783.333)</f>
        <v>0.10987695088187602</v>
      </c>
      <c r="AF322" s="2">
        <f t="shared" ref="AF322:AF365" si="97">0.0396957031510002*(8350/2783.333)</f>
        <v>0.11908712371493149</v>
      </c>
      <c r="AG322" s="2">
        <f t="shared" ref="AG322:AG365" si="98">0.0330784344759505*(8350/2783.333)</f>
        <v>9.9235315312320327E-2</v>
      </c>
      <c r="AH322" s="2">
        <f t="shared" ref="AH322:AH365" si="99">0.0399963802706676*(8350/2783.333)</f>
        <v>0.1199891551819615</v>
      </c>
      <c r="AI322" s="2">
        <f t="shared" ref="AI322:AI365" si="100">0.0336660350095315*(8350/2783.333)</f>
        <v>0.10099811712417744</v>
      </c>
      <c r="AJ322" s="2">
        <f>0.0738299632047667*(8350/2783.333)</f>
        <v>0.2214899161400386</v>
      </c>
      <c r="AK322" s="2">
        <f>0.247314861587645*(8350/2783.333)</f>
        <v>0.74194467361858363</v>
      </c>
      <c r="AL322" s="2">
        <f>0.25840093116479*(8350/2783.333)</f>
        <v>0.77520288633303935</v>
      </c>
      <c r="AM322" s="2">
        <f>0.344041943622538*(8350/2783.333)</f>
        <v>1.0321259544755126</v>
      </c>
      <c r="AN322" s="2">
        <f>0.34688992080522*(8350/2783.333)</f>
        <v>1.0406698870467843</v>
      </c>
      <c r="AO322" s="2">
        <f>0.0980505195290374*(8350/2783.333)</f>
        <v>0.29415159381484784</v>
      </c>
      <c r="AP322" s="2">
        <f>0.158755990490072*(8350/2783.333)</f>
        <v>0.47626802850830297</v>
      </c>
      <c r="AQ322" s="2">
        <f>0.209710479327082*(8350/2783.333)</f>
        <v>0.62913151332633588</v>
      </c>
      <c r="AR322" s="2">
        <f>0.191434572474648*(8350/2783.333)</f>
        <v>0.57430378620283906</v>
      </c>
      <c r="AS322" s="2">
        <f>0.101454261954061*(8350/2783.333)</f>
        <v>0.30436282231281919</v>
      </c>
      <c r="AT322" s="2">
        <f>0.110830389450362*(8350/2783.333)</f>
        <v>0.33249120817039329</v>
      </c>
      <c r="AU322" s="2">
        <f>0.0824340515149035*(8350/2783.333)</f>
        <v>0.24730218416173869</v>
      </c>
      <c r="AV322" s="2">
        <f>0.0772928688714779*(8350/2783.333)</f>
        <v>0.2318786343843301</v>
      </c>
      <c r="AW322" s="2">
        <f>0.0738309474584831*(8350/2783.333)</f>
        <v>0.22149286890154149</v>
      </c>
    </row>
    <row r="323" spans="1:49" x14ac:dyDescent="0.25">
      <c r="A323" s="5">
        <v>45945</v>
      </c>
      <c r="B323" s="2">
        <f>0.241418272209166*(8350/2783.333)</f>
        <v>0.72425490336461096</v>
      </c>
      <c r="C323" s="2">
        <f>0.233560572751079*(8350/2783.333)</f>
        <v>0.70068180216722431</v>
      </c>
      <c r="D323" s="2">
        <f>0.194823839718257*(8350/2783.333)</f>
        <v>0.58447158915136876</v>
      </c>
      <c r="E323" s="2">
        <f>0.227936978552103*(8350/2783.333)</f>
        <v>0.68381101754984486</v>
      </c>
      <c r="F323" s="2">
        <f>0.191773102646227*(8350/2783.333)</f>
        <v>0.57531937683920609</v>
      </c>
      <c r="G323" s="2">
        <f>0.225055487175613*(8350/2783.333)</f>
        <v>0.67516654238510809</v>
      </c>
      <c r="H323" s="2">
        <f>0.235883890916672*(8350/2783.333)</f>
        <v>0.70765175749872888</v>
      </c>
      <c r="I323" s="2">
        <f>0.226003764800813*(8350/2783.333)</f>
        <v>0.67801137560140523</v>
      </c>
      <c r="J323" s="2">
        <f>0.198056086695982*(8350/2783.333)</f>
        <v>0.59416833124582991</v>
      </c>
      <c r="K323" s="2">
        <f>0.254557105305879*(8350/2783.333)</f>
        <v>0.76367140737529204</v>
      </c>
      <c r="L323" s="2">
        <f>0.254208884729799*(8350/2783.333)</f>
        <v>0.76262674552194043</v>
      </c>
      <c r="M323" s="2">
        <f>0.37358864973659*(8350/2783.333)</f>
        <v>1.1207660834332536</v>
      </c>
      <c r="N323" s="2">
        <f>0.229699797884317*(8350/2783.333)</f>
        <v>0.68909947617983347</v>
      </c>
      <c r="O323" s="2">
        <f>0.43380089004859*(8350/2783.333)</f>
        <v>1.3014028260023947</v>
      </c>
      <c r="P323" s="2">
        <f>0.318990285769276*(8350/2783.333)</f>
        <v>0.95697097191512903</v>
      </c>
      <c r="Q323" s="2">
        <f>0.429210820321737*(8350/2783.333)</f>
        <v>1.2876326151727089</v>
      </c>
      <c r="R323" s="2">
        <f>0.761113619606559*(8350/2783.333)</f>
        <v>2.2833411322737054</v>
      </c>
      <c r="S323" s="2">
        <f>0.180737768624946*(8350/2783.333)</f>
        <v>0.54221337081056975</v>
      </c>
      <c r="T323" s="2">
        <f t="shared" si="85"/>
        <v>0.10069243236843764</v>
      </c>
      <c r="U323" s="2">
        <f t="shared" si="86"/>
        <v>0.11437794326585224</v>
      </c>
      <c r="V323" s="2">
        <f t="shared" si="87"/>
        <v>0.11043877033537902</v>
      </c>
      <c r="W323" s="2">
        <f t="shared" si="88"/>
        <v>0.10705744606724045</v>
      </c>
      <c r="X323" s="2">
        <f t="shared" si="89"/>
        <v>0.11728533803050227</v>
      </c>
      <c r="Y323" s="2">
        <f t="shared" si="90"/>
        <v>0.10928020503416074</v>
      </c>
      <c r="Z323" s="2">
        <f t="shared" si="91"/>
        <v>0.10579568013572224</v>
      </c>
      <c r="AA323" s="2">
        <f t="shared" si="92"/>
        <v>0.11798772791544039</v>
      </c>
      <c r="AB323" s="2">
        <f t="shared" si="93"/>
        <v>0.10026757173055721</v>
      </c>
      <c r="AC323" s="2">
        <f t="shared" si="94"/>
        <v>0.1151901624778385</v>
      </c>
      <c r="AD323" s="2">
        <f t="shared" si="95"/>
        <v>0.10227444344259566</v>
      </c>
      <c r="AE323" s="2">
        <f t="shared" si="96"/>
        <v>0.10987695088187602</v>
      </c>
      <c r="AF323" s="2">
        <f t="shared" si="97"/>
        <v>0.11908712371493149</v>
      </c>
      <c r="AG323" s="2">
        <f t="shared" si="98"/>
        <v>9.9235315312320327E-2</v>
      </c>
      <c r="AH323" s="2">
        <f t="shared" si="99"/>
        <v>0.1199891551819615</v>
      </c>
      <c r="AI323" s="2">
        <f t="shared" si="100"/>
        <v>0.10099811712417744</v>
      </c>
      <c r="AJ323" s="2">
        <f>0.0992990264869039*(8350/2783.333)</f>
        <v>0.29789711513701295</v>
      </c>
      <c r="AK323" s="2">
        <f>0.236822715944532*(8350/2783.333)</f>
        <v>0.71046823291961336</v>
      </c>
      <c r="AL323" s="2">
        <f>0.312438055813267*(8350/2783.333)</f>
        <v>0.93731427969300751</v>
      </c>
      <c r="AM323" s="2">
        <f>0.27100326010613*(8350/2783.333)</f>
        <v>0.81300987768484212</v>
      </c>
      <c r="AN323" s="2">
        <f>0.355274905462105*(8350/2783.333)</f>
        <v>1.0658248440300098</v>
      </c>
      <c r="AO323" s="2">
        <f>0.159835778410348*(8350/2783.333)</f>
        <v>0.47950739265708053</v>
      </c>
      <c r="AP323" s="2">
        <f>0.218393602867245*(8350/2783.333)</f>
        <v>0.65518088706651156</v>
      </c>
      <c r="AQ323" s="2">
        <f>0.22817448760386*(8350/2783.333)</f>
        <v>0.6845235447904473</v>
      </c>
      <c r="AR323" s="2">
        <f>0.237169794567567*(8350/2783.333)</f>
        <v>0.7115094689134146</v>
      </c>
      <c r="AS323" s="2">
        <f>0.500679194492781*(8350/2783.333)</f>
        <v>1.5020377633631046</v>
      </c>
      <c r="AT323" s="2">
        <f>0.480046420577901*(8350/2783.333)</f>
        <v>1.4401394342054905</v>
      </c>
      <c r="AU323" s="2">
        <f>0.186430329784208*(8350/2783.333)</f>
        <v>0.55929105633359</v>
      </c>
      <c r="AV323" s="2">
        <f>0.0972743920867498*(8350/2783.333)</f>
        <v>0.29182321120913696</v>
      </c>
      <c r="AW323" s="2">
        <f>0.103052459294683*(8350/2783.333)</f>
        <v>0.30915741490888854</v>
      </c>
    </row>
    <row r="324" spans="1:49" x14ac:dyDescent="0.25">
      <c r="A324" s="5">
        <v>45946</v>
      </c>
      <c r="B324" s="2">
        <f>0.36656352743558*(8350/2783.333)</f>
        <v>1.0996907140062273</v>
      </c>
      <c r="C324" s="2">
        <f>0.394553971663859*(8350/2783.333)</f>
        <v>1.1836620567475129</v>
      </c>
      <c r="D324" s="2">
        <f>0.298886372579816*(8350/2783.333)</f>
        <v>0.89665922512378593</v>
      </c>
      <c r="E324" s="2">
        <f>0.295113527109126*(8350/2783.333)</f>
        <v>0.88534068735620153</v>
      </c>
      <c r="F324" s="2">
        <f>0.191382526062427*(8350/2783.333)</f>
        <v>0.57414764694747678</v>
      </c>
      <c r="G324" s="2">
        <f>0.219843675893652*(8350/2783.333)</f>
        <v>0.65953110666671666</v>
      </c>
      <c r="H324" s="2">
        <f>0.230631415612859*(8350/2783.333)</f>
        <v>0.69189432970017339</v>
      </c>
      <c r="I324" s="2">
        <f>0.214354086202833*(8350/2783.333)</f>
        <v>0.64306233562195148</v>
      </c>
      <c r="J324" s="2">
        <f>0.187361058014399*(8350/2783.333)</f>
        <v>0.5620832413585547</v>
      </c>
      <c r="K324" s="2">
        <f>0.23622480348344*(8350/2783.333)</f>
        <v>0.70867449532151605</v>
      </c>
      <c r="L324" s="2">
        <f>0.253376777087476*(8350/2783.333)</f>
        <v>0.76013042229601002</v>
      </c>
      <c r="M324" s="2">
        <f>0.24098230118622*(8350/2783.333)</f>
        <v>0.7229469901391391</v>
      </c>
      <c r="N324" s="2">
        <f>0.191876160496848*(8350/2783.333)</f>
        <v>0.57562855042809402</v>
      </c>
      <c r="O324" s="2">
        <f>0.24187685990588*(8350/2783.333)</f>
        <v>0.72563066661951714</v>
      </c>
      <c r="P324" s="2">
        <f>0.478054360700171*(8350/2783.333)</f>
        <v>1.4341632538565927</v>
      </c>
      <c r="Q324" s="2">
        <f>0.415061013058383*(8350/2783.333)</f>
        <v>1.2451831882988835</v>
      </c>
      <c r="R324" s="2">
        <f>0.237452562009283*(8350/2783.333)</f>
        <v>0.71235777134015843</v>
      </c>
      <c r="S324" s="2">
        <f>0.255159202764629*(8350/2783.333)</f>
        <v>0.76547769996786341</v>
      </c>
      <c r="T324" s="2">
        <f t="shared" si="85"/>
        <v>0.10069243236843764</v>
      </c>
      <c r="U324" s="2">
        <f t="shared" si="86"/>
        <v>0.11437794326585224</v>
      </c>
      <c r="V324" s="2">
        <f t="shared" si="87"/>
        <v>0.11043877033537902</v>
      </c>
      <c r="W324" s="2">
        <f t="shared" si="88"/>
        <v>0.10705744606724045</v>
      </c>
      <c r="X324" s="2">
        <f t="shared" si="89"/>
        <v>0.11728533803050227</v>
      </c>
      <c r="Y324" s="2">
        <f t="shared" si="90"/>
        <v>0.10928020503416074</v>
      </c>
      <c r="Z324" s="2">
        <f t="shared" si="91"/>
        <v>0.10579568013572224</v>
      </c>
      <c r="AA324" s="2">
        <f t="shared" si="92"/>
        <v>0.11798772791544039</v>
      </c>
      <c r="AB324" s="2">
        <f t="shared" si="93"/>
        <v>0.10026757173055721</v>
      </c>
      <c r="AC324" s="2">
        <f t="shared" si="94"/>
        <v>0.1151901624778385</v>
      </c>
      <c r="AD324" s="2">
        <f t="shared" si="95"/>
        <v>0.10227444344259566</v>
      </c>
      <c r="AE324" s="2">
        <f t="shared" si="96"/>
        <v>0.10987695088187602</v>
      </c>
      <c r="AF324" s="2">
        <f t="shared" si="97"/>
        <v>0.11908712371493149</v>
      </c>
      <c r="AG324" s="2">
        <f t="shared" si="98"/>
        <v>9.9235315312320327E-2</v>
      </c>
      <c r="AH324" s="2">
        <f t="shared" si="99"/>
        <v>0.1199891551819615</v>
      </c>
      <c r="AI324" s="2">
        <f t="shared" si="100"/>
        <v>0.10099811712417744</v>
      </c>
      <c r="AJ324" s="2">
        <f>0.12446488663473*(8350/2783.333)</f>
        <v>0.37339470462211843</v>
      </c>
      <c r="AK324" s="2">
        <f>0.353735195967783*(8350/2783.333)</f>
        <v>1.0612057149938525</v>
      </c>
      <c r="AL324" s="2">
        <f>0.21701079313617*(8350/2783.333)</f>
        <v>0.65103245737646775</v>
      </c>
      <c r="AM324" s="2">
        <f>0.474255705185727*(8350/2783.333)</f>
        <v>1.4227672859484737</v>
      </c>
      <c r="AN324" s="2">
        <f>0.307138882431838*(8350/2783.333)</f>
        <v>0.92141675764482478</v>
      </c>
      <c r="AO324" s="2">
        <f>0.12416747678563*(8350/2783.333)</f>
        <v>0.37250247496796546</v>
      </c>
      <c r="AP324" s="2">
        <f>0.130436453886386*(8350/2783.333)</f>
        <v>0.39130940852256169</v>
      </c>
      <c r="AQ324" s="2">
        <f>0.1217946967982*(8350/2783.333)</f>
        <v>0.36538413415317866</v>
      </c>
      <c r="AR324" s="2">
        <f>0.174773884426513*(8350/2783.333)</f>
        <v>0.5243217160725574</v>
      </c>
      <c r="AS324" s="2">
        <f>0.198888941421827*(8350/2783.333)</f>
        <v>0.59666689572259513</v>
      </c>
      <c r="AT324" s="2">
        <f>0.189690474251582*(8350/2783.333)</f>
        <v>0.56907149090701981</v>
      </c>
      <c r="AU324" s="2">
        <f>0.098025200091163*(8350/2783.333)</f>
        <v>0.2940756354921279</v>
      </c>
      <c r="AV324" s="2">
        <f>0.0796163018034863*(8350/2783.333)</f>
        <v>0.23884893401512158</v>
      </c>
      <c r="AW324" s="2">
        <f>0.0774059196512097*(8350/2783.333)</f>
        <v>0.23221778676414245</v>
      </c>
    </row>
    <row r="325" spans="1:49" x14ac:dyDescent="0.25">
      <c r="A325" s="5">
        <v>45947</v>
      </c>
      <c r="B325" s="2">
        <f>0.23581475331843*(8350/2783.333)</f>
        <v>0.70744434467916506</v>
      </c>
      <c r="C325" s="2">
        <f>0.236444036612203*(8350/2783.333)</f>
        <v>0.70933219478657272</v>
      </c>
      <c r="D325" s="2">
        <f>0.181522613713396*(8350/2783.333)</f>
        <v>0.54456790635790164</v>
      </c>
      <c r="E325" s="2">
        <f>0.215891528466017*(8350/2783.333)</f>
        <v>0.64767466296387777</v>
      </c>
      <c r="F325" s="2">
        <f>0.176540615877993*(8350/2783.333)</f>
        <v>0.52962191106175371</v>
      </c>
      <c r="G325" s="2">
        <f>0.217474670765487*(8350/2783.333)</f>
        <v>0.65242409043108351</v>
      </c>
      <c r="H325" s="2">
        <f>0.209621514397609*(8350/2783.333)</f>
        <v>0.62886461850595499</v>
      </c>
      <c r="I325" s="2">
        <f>0.213888099058913*(8350/2783.333)</f>
        <v>0.64166437402277265</v>
      </c>
      <c r="J325" s="2">
        <f>0.161217654570529*(8350/2783.333)</f>
        <v>0.48365302163410545</v>
      </c>
      <c r="K325" s="2">
        <f>0.227320542598255*(8350/2783.333)</f>
        <v>0.68196170946682544</v>
      </c>
      <c r="L325" s="2">
        <f>0.256705207656769*(8350/2783.333)</f>
        <v>0.77011571519973421</v>
      </c>
      <c r="M325" s="2">
        <f>0.426895520748533*(8350/2783.333)</f>
        <v>1.2806867156212536</v>
      </c>
      <c r="N325" s="2">
        <f>0.236397733671681*(8350/2783.333)</f>
        <v>0.70919328594837061</v>
      </c>
      <c r="O325" s="2">
        <f>0.723752653786694*(8350/2783.333)</f>
        <v>2.1712582213910081</v>
      </c>
      <c r="P325" s="2">
        <f>0.685829114403943*(8350/2783.333)</f>
        <v>2.0574875896175282</v>
      </c>
      <c r="Q325" s="2">
        <f>0.582500399008071*(8350/2783.333)</f>
        <v>1.7475014063058194</v>
      </c>
      <c r="R325" s="2">
        <f>0.515100855518571*(8350/2783.333)</f>
        <v>1.5453027516219107</v>
      </c>
      <c r="S325" s="2">
        <f>0.287978592975297*(8350/2783.333)</f>
        <v>0.86393588239126573</v>
      </c>
      <c r="T325" s="2">
        <f t="shared" si="85"/>
        <v>0.10069243236843764</v>
      </c>
      <c r="U325" s="2">
        <f t="shared" si="86"/>
        <v>0.11437794326585224</v>
      </c>
      <c r="V325" s="2">
        <f t="shared" si="87"/>
        <v>0.11043877033537902</v>
      </c>
      <c r="W325" s="2">
        <f t="shared" si="88"/>
        <v>0.10705744606724045</v>
      </c>
      <c r="X325" s="2">
        <f t="shared" si="89"/>
        <v>0.11728533803050227</v>
      </c>
      <c r="Y325" s="2">
        <f t="shared" si="90"/>
        <v>0.10928020503416074</v>
      </c>
      <c r="Z325" s="2">
        <f t="shared" si="91"/>
        <v>0.10579568013572224</v>
      </c>
      <c r="AA325" s="2">
        <f t="shared" si="92"/>
        <v>0.11798772791544039</v>
      </c>
      <c r="AB325" s="2">
        <f t="shared" si="93"/>
        <v>0.10026757173055721</v>
      </c>
      <c r="AC325" s="2">
        <f t="shared" si="94"/>
        <v>0.1151901624778385</v>
      </c>
      <c r="AD325" s="2">
        <f t="shared" si="95"/>
        <v>0.10227444344259566</v>
      </c>
      <c r="AE325" s="2">
        <f t="shared" si="96"/>
        <v>0.10987695088187602</v>
      </c>
      <c r="AF325" s="2">
        <f t="shared" si="97"/>
        <v>0.11908712371493149</v>
      </c>
      <c r="AG325" s="2">
        <f t="shared" si="98"/>
        <v>9.9235315312320327E-2</v>
      </c>
      <c r="AH325" s="2">
        <f t="shared" si="99"/>
        <v>0.1199891551819615</v>
      </c>
      <c r="AI325" s="2">
        <f t="shared" si="100"/>
        <v>0.10099811712417744</v>
      </c>
      <c r="AJ325" s="2">
        <f>0.188289146407228*(8350/2783.333)</f>
        <v>0.5648675068704887</v>
      </c>
      <c r="AK325" s="2">
        <f>0.527605038053642*(8350/2783.333)</f>
        <v>1.5828153037196451</v>
      </c>
      <c r="AL325" s="2">
        <f>0.313587781869617*(8350/2783.333)</f>
        <v>0.94076345827513408</v>
      </c>
      <c r="AM325" s="2">
        <f>0.307687847754643*(8350/2783.333)</f>
        <v>0.92306365381047306</v>
      </c>
      <c r="AN325" s="2">
        <f>0.308070547393714*(8350/2783.333)</f>
        <v>0.92421175286518298</v>
      </c>
      <c r="AO325" s="2">
        <f>0.14700115941568*(8350/2783.333)</f>
        <v>0.44100353106183443</v>
      </c>
      <c r="AP325" s="2">
        <f>0.150759886037267*(8350/2783.333)</f>
        <v>0.45227971227703478</v>
      </c>
      <c r="AQ325" s="2">
        <f>0.160924842779263*(8350/2783.333)</f>
        <v>0.48277458615510377</v>
      </c>
      <c r="AR325" s="2">
        <f>0.196498114920649*(8350/2783.333)</f>
        <v>0.58949441536008174</v>
      </c>
      <c r="AS325" s="2">
        <f>0.210786905581258*(8350/2783.333)</f>
        <v>0.63236079247560395</v>
      </c>
      <c r="AT325" s="2">
        <f>0.222152629741481*(8350/2783.333)</f>
        <v>0.6664579690397674</v>
      </c>
      <c r="AU325" s="2">
        <f>0.107147680641102*(8350/2783.333)</f>
        <v>0.32144308041948327</v>
      </c>
      <c r="AV325" s="2">
        <f>0.0754341225258712*(8350/2783.333)</f>
        <v>0.22630239467969687</v>
      </c>
      <c r="AW325" s="2">
        <f>0.075540716768048*(8350/2783.333)</f>
        <v>0.22662217744452456</v>
      </c>
    </row>
    <row r="326" spans="1:49" x14ac:dyDescent="0.25">
      <c r="A326" s="5">
        <v>45948</v>
      </c>
      <c r="B326" s="2">
        <f>0.197524040898408*(8350/2783.333)</f>
        <v>0.59257219366195435</v>
      </c>
      <c r="C326" s="2">
        <f>0.22779364502883*(8350/2783.333)</f>
        <v>0.68338101692852726</v>
      </c>
      <c r="D326" s="2">
        <f>0.178001700947404*(8350/2783.333)</f>
        <v>0.53400516679492505</v>
      </c>
      <c r="E326" s="2">
        <f>0.192263914835616*(8350/2783.333)</f>
        <v>0.57679181358371101</v>
      </c>
      <c r="F326" s="2">
        <f>0.168338507618175*(8350/2783.333)</f>
        <v>0.50501558333543317</v>
      </c>
      <c r="G326" s="2">
        <f>0.22458168614998*(8350/2783.333)</f>
        <v>0.67374513913798173</v>
      </c>
      <c r="H326" s="2">
        <f>0.220126465005234*(8350/2783.333)</f>
        <v>0.66037947410306452</v>
      </c>
      <c r="I326" s="2">
        <f>0.20410236903661*(8350/2783.333)</f>
        <v>0.61230718044003185</v>
      </c>
      <c r="J326" s="2">
        <f>0.182211599760303*(8350/2783.333)</f>
        <v>0.54663486474616318</v>
      </c>
      <c r="K326" s="2">
        <f>0.227320542598255*(8350/2783.333)</f>
        <v>0.68196170946682544</v>
      </c>
      <c r="L326" s="2">
        <f>0.24713596977005*(8350/2783.333)</f>
        <v>0.74140799810152669</v>
      </c>
      <c r="M326" s="2">
        <f>0.238338985268273*(8350/2783.333)</f>
        <v>0.71501704143560174</v>
      </c>
      <c r="N326" s="2">
        <f>0.224183850765311*(8350/2783.333)</f>
        <v>0.67255163284103781</v>
      </c>
      <c r="O326" s="2">
        <f>0.208074193148847*(8350/2783.333)</f>
        <v>0.6242226542037459</v>
      </c>
      <c r="P326" s="2">
        <f>0.471588341394037*(8350/2783.333)</f>
        <v>1.4147651936150694</v>
      </c>
      <c r="Q326" s="2">
        <f>0.306579157372669*(8350/2783.333)</f>
        <v>0.91973758226622004</v>
      </c>
      <c r="R326" s="2">
        <f>0.752181234828781*(8350/2783.333)</f>
        <v>2.2565439747311289</v>
      </c>
      <c r="S326" s="2">
        <f>0.277346959526771*(8350/2783.333)</f>
        <v>0.83204097822593781</v>
      </c>
      <c r="T326" s="2">
        <f t="shared" si="85"/>
        <v>0.10069243236843764</v>
      </c>
      <c r="U326" s="2">
        <f t="shared" si="86"/>
        <v>0.11437794326585224</v>
      </c>
      <c r="V326" s="2">
        <f t="shared" si="87"/>
        <v>0.11043877033537902</v>
      </c>
      <c r="W326" s="2">
        <f t="shared" si="88"/>
        <v>0.10705744606724045</v>
      </c>
      <c r="X326" s="2">
        <f t="shared" si="89"/>
        <v>0.11728533803050227</v>
      </c>
      <c r="Y326" s="2">
        <f t="shared" si="90"/>
        <v>0.10928020503416074</v>
      </c>
      <c r="Z326" s="2">
        <f t="shared" si="91"/>
        <v>0.10579568013572224</v>
      </c>
      <c r="AA326" s="2">
        <f t="shared" si="92"/>
        <v>0.11798772791544039</v>
      </c>
      <c r="AB326" s="2">
        <f t="shared" si="93"/>
        <v>0.10026757173055721</v>
      </c>
      <c r="AC326" s="2">
        <f t="shared" si="94"/>
        <v>0.1151901624778385</v>
      </c>
      <c r="AD326" s="2">
        <f t="shared" si="95"/>
        <v>0.10227444344259566</v>
      </c>
      <c r="AE326" s="2">
        <f t="shared" si="96"/>
        <v>0.10987695088187602</v>
      </c>
      <c r="AF326" s="2">
        <f t="shared" si="97"/>
        <v>0.11908712371493149</v>
      </c>
      <c r="AG326" s="2">
        <f t="shared" si="98"/>
        <v>9.9235315312320327E-2</v>
      </c>
      <c r="AH326" s="2">
        <f t="shared" si="99"/>
        <v>0.1199891551819615</v>
      </c>
      <c r="AI326" s="2">
        <f t="shared" si="100"/>
        <v>0.10099811712417744</v>
      </c>
      <c r="AJ326" s="2">
        <f>0.102331057830016*(8350/2783.333)</f>
        <v>0.30699321025570042</v>
      </c>
      <c r="AK326" s="2">
        <f>0.136697668950262*(8350/2783.333)</f>
        <v>0.41009305596372592</v>
      </c>
      <c r="AL326" s="2">
        <f>0.121296098944985*(8350/2783.333)</f>
        <v>0.36388834041439638</v>
      </c>
      <c r="AM326" s="2">
        <f>0.178796053313922*(8350/2783.333)</f>
        <v>0.5363882241798773</v>
      </c>
      <c r="AN326" s="2">
        <f>0.214282941231515*(8350/2783.333)</f>
        <v>0.64284890068243605</v>
      </c>
      <c r="AO326" s="2">
        <f>0.124764435808638*(8350/2783.333)</f>
        <v>0.37429335225146543</v>
      </c>
      <c r="AP326" s="2">
        <f>0.157423306414604*(8350/2783.333)</f>
        <v>0.47226997580309171</v>
      </c>
      <c r="AQ326" s="2">
        <f>0.125013193653785*(8350/2783.333)</f>
        <v>0.37503962587628081</v>
      </c>
      <c r="AR326" s="2">
        <f>0.107151091760553*(8350/2783.333)</f>
        <v>0.32145331377906333</v>
      </c>
      <c r="AS326" s="2">
        <f>0.101615045253512*(8350/2783.333)</f>
        <v>0.30484517226894109</v>
      </c>
      <c r="AT326" s="2">
        <f>0.105256079921794*(8350/2783.333)</f>
        <v>0.31576827758194159</v>
      </c>
      <c r="AU326" s="2">
        <f>0.0963665672639013*(8350/2783.333)</f>
        <v>0.28909973641442693</v>
      </c>
      <c r="AV326" s="2">
        <f>0.0825593168506969*(8350/2783.333)</f>
        <v>0.24767798021412413</v>
      </c>
      <c r="AW326" s="2">
        <f>0.0862656333462277*(8350/2783.333)</f>
        <v>0.25879693103232743</v>
      </c>
    </row>
    <row r="327" spans="1:49" x14ac:dyDescent="0.25">
      <c r="A327" s="5">
        <v>45949</v>
      </c>
      <c r="B327" s="2">
        <f>0.228343394797451*(8350/2783.333)</f>
        <v>0.68503026643190468</v>
      </c>
      <c r="C327" s="2">
        <f>0.230196531579767*(8350/2783.333)</f>
        <v>0.69058967744465061</v>
      </c>
      <c r="D327" s="2">
        <f>0.191302926952265*(8350/2783.333)</f>
        <v>0.57390884958839261</v>
      </c>
      <c r="E327" s="2">
        <f>0.21820796117488*(8350/2783.333)</f>
        <v>0.65462396192271777</v>
      </c>
      <c r="F327" s="2">
        <f>0.19294483239763*(8350/2783.333)</f>
        <v>0.57883456651439491</v>
      </c>
      <c r="G327" s="2">
        <f>0.22126507897055*(8350/2783.333)</f>
        <v>0.6637953164080963</v>
      </c>
      <c r="H327" s="2">
        <f>0.229676420103075*(8350/2783.333)</f>
        <v>0.68902934282770922</v>
      </c>
      <c r="I327" s="2">
        <f>0.217615996210267*(8350/2783.333)</f>
        <v>0.65284806681619789</v>
      </c>
      <c r="J327" s="2">
        <f>0.187757170187791*(8350/2783.333)</f>
        <v>0.56327157802104699</v>
      </c>
      <c r="K327" s="2">
        <f>0.227320542598255*(8350/2783.333)</f>
        <v>0.68196170946682544</v>
      </c>
      <c r="L327" s="2">
        <f>0.250880454160505*(8350/2783.333)</f>
        <v>0.75264145261821613</v>
      </c>
      <c r="M327" s="2">
        <f>0.37006422851266*(8350/2783.333)</f>
        <v>1.1101928184952039</v>
      </c>
      <c r="N327" s="2">
        <f>0.426697909277384*(8350/2783.333)</f>
        <v>1.280093881136809</v>
      </c>
      <c r="O327" s="2">
        <f>0.270421334056264*(8350/2783.333)</f>
        <v>0.81126409932616805</v>
      </c>
      <c r="P327" s="2">
        <f>0.874205810189313*(8350/2783.333)</f>
        <v>2.622617744653895</v>
      </c>
      <c r="Q327" s="2">
        <f>0.933887279381361*(8350/2783.333)</f>
        <v>2.8016621736724874</v>
      </c>
      <c r="R327" s="2">
        <f>0.289558139879659*(8350/2783.333)</f>
        <v>0.86867452367185471</v>
      </c>
      <c r="S327" s="2">
        <f>0.0895214352694743*(8350/2783.333)</f>
        <v>0.26856433797181672</v>
      </c>
      <c r="T327" s="2">
        <f t="shared" si="85"/>
        <v>0.10069243236843764</v>
      </c>
      <c r="U327" s="2">
        <f t="shared" si="86"/>
        <v>0.11437794326585224</v>
      </c>
      <c r="V327" s="2">
        <f t="shared" si="87"/>
        <v>0.11043877033537902</v>
      </c>
      <c r="W327" s="2">
        <f t="shared" si="88"/>
        <v>0.10705744606724045</v>
      </c>
      <c r="X327" s="2">
        <f t="shared" si="89"/>
        <v>0.11728533803050227</v>
      </c>
      <c r="Y327" s="2">
        <f t="shared" si="90"/>
        <v>0.10928020503416074</v>
      </c>
      <c r="Z327" s="2">
        <f t="shared" si="91"/>
        <v>0.10579568013572224</v>
      </c>
      <c r="AA327" s="2">
        <f t="shared" si="92"/>
        <v>0.11798772791544039</v>
      </c>
      <c r="AB327" s="2">
        <f t="shared" si="93"/>
        <v>0.10026757173055721</v>
      </c>
      <c r="AC327" s="2">
        <f t="shared" si="94"/>
        <v>0.1151901624778385</v>
      </c>
      <c r="AD327" s="2">
        <f t="shared" si="95"/>
        <v>0.10227444344259566</v>
      </c>
      <c r="AE327" s="2">
        <f t="shared" si="96"/>
        <v>0.10987695088187602</v>
      </c>
      <c r="AF327" s="2">
        <f t="shared" si="97"/>
        <v>0.11908712371493149</v>
      </c>
      <c r="AG327" s="2">
        <f t="shared" si="98"/>
        <v>9.9235315312320327E-2</v>
      </c>
      <c r="AH327" s="2">
        <f t="shared" si="99"/>
        <v>0.1199891551819615</v>
      </c>
      <c r="AI327" s="2">
        <f t="shared" si="100"/>
        <v>0.10099811712417744</v>
      </c>
      <c r="AJ327" s="2">
        <f>0.0312299228340492*(8350/2783.333)</f>
        <v>9.368977972248041E-2</v>
      </c>
      <c r="AK327" s="2">
        <f>0.11691248002325*(8350/2783.333)</f>
        <v>0.35073748207423949</v>
      </c>
      <c r="AL327" s="2">
        <f>0.156937606691852*(8350/2783.333)</f>
        <v>0.4708128764603331</v>
      </c>
      <c r="AM327" s="2">
        <f>0.269681292983661*(8350/2783.333)</f>
        <v>0.80904397584247645</v>
      </c>
      <c r="AN327" s="2">
        <f>0.235400680367374*(8350/2783.333)</f>
        <v>0.70620212567722684</v>
      </c>
      <c r="AO327" s="2">
        <f>0.0940210461237345*(8350/2783.333)</f>
        <v>0.28206317215122401</v>
      </c>
      <c r="AP327" s="2">
        <f>0.122773520452448*(8350/2783.333)</f>
        <v>0.36832060546759615</v>
      </c>
      <c r="AQ327" s="2">
        <f>0.122980458797626*(8350/2783.333)</f>
        <v>0.36894142057747925</v>
      </c>
      <c r="AR327" s="2">
        <f>0.177387325688965*(8350/2783.333)</f>
        <v>0.53216204079887652</v>
      </c>
      <c r="AS327" s="2">
        <f>0.170591080718317*(8350/2783.333)</f>
        <v>0.51177330344516825</v>
      </c>
      <c r="AT327" s="2">
        <f>0.498408851966126*(8350/2783.333)</f>
        <v>1.4952267349674495</v>
      </c>
      <c r="AU327" s="2">
        <f>0.157901845155308*(8350/2783.333)</f>
        <v>0.47370559219713299</v>
      </c>
      <c r="AV327" s="2">
        <f>0.0850376453115058*(8350/2783.333)</f>
        <v>0.25511296648696841</v>
      </c>
      <c r="AW327" s="2">
        <f>0.0727429124433055*(8350/2783.333)</f>
        <v>0.21822876346509779</v>
      </c>
    </row>
    <row r="328" spans="1:49" x14ac:dyDescent="0.25">
      <c r="A328" s="5">
        <v>45950</v>
      </c>
      <c r="B328" s="2">
        <f>0.231612114150379*(8350/2783.333)</f>
        <v>0.69483642566508075</v>
      </c>
      <c r="C328" s="2">
        <f>0.209051129931521*(8350/2783.333)</f>
        <v>0.62715346490276269</v>
      </c>
      <c r="D328" s="2">
        <f>0.186999589127162*(8350/2783.333)</f>
        <v>0.56099883456697641</v>
      </c>
      <c r="E328" s="2">
        <f>0.227936978552103*(8350/2783.333)</f>
        <v>0.68381101754984486</v>
      </c>
      <c r="F328" s="2">
        <f>0.196069445068037*(8350/2783.333)</f>
        <v>0.58820840564823107</v>
      </c>
      <c r="G328" s="2">
        <f>0.207524849227197*(8350/2783.333)</f>
        <v>0.62257462224142657</v>
      </c>
      <c r="H328" s="2">
        <f>0.244001352749836*(8350/2783.333)</f>
        <v>0.73200414591467633</v>
      </c>
      <c r="I328" s="2">
        <f>0.206898291900125*(8350/2783.333)</f>
        <v>0.62069495003510045</v>
      </c>
      <c r="J328" s="2">
        <f>0.190529955401535*(8350/2783.333)</f>
        <v>0.57158993465848851</v>
      </c>
      <c r="K328" s="2">
        <f>0.244081504264485*(8350/2783.333)</f>
        <v>0.73224460048742057</v>
      </c>
      <c r="L328" s="2">
        <f>0.26419417643768*(8350/2783.333)</f>
        <v>0.79258262423311365</v>
      </c>
      <c r="M328" s="2">
        <f>0.262128828529801*(8350/2783.333)</f>
        <v>0.78638657976743653</v>
      </c>
      <c r="N328" s="2">
        <f>0.256097544810988*(8350/2783.333)</f>
        <v>0.76829272644406799</v>
      </c>
      <c r="O328" s="2">
        <f>0.495396860583627*(8350/2783.333)</f>
        <v>1.4861907597377997</v>
      </c>
      <c r="P328" s="2">
        <f>0.385805818599327*(8350/2783.333)</f>
        <v>1.1574175944108658</v>
      </c>
      <c r="Q328" s="2">
        <f>0.565048970049935*(8350/2783.333)</f>
        <v>1.6951471131614344</v>
      </c>
      <c r="R328" s="2">
        <f>0.753669965625077*(8350/2783.333)</f>
        <v>2.2610101676548919</v>
      </c>
      <c r="S328" s="2">
        <f>0.211400015817072*(8350/2783.333)</f>
        <v>0.63420012340332654</v>
      </c>
      <c r="T328" s="2">
        <f t="shared" si="85"/>
        <v>0.10069243236843764</v>
      </c>
      <c r="U328" s="2">
        <f t="shared" si="86"/>
        <v>0.11437794326585224</v>
      </c>
      <c r="V328" s="2">
        <f t="shared" si="87"/>
        <v>0.11043877033537902</v>
      </c>
      <c r="W328" s="2">
        <f t="shared" si="88"/>
        <v>0.10705744606724045</v>
      </c>
      <c r="X328" s="2">
        <f t="shared" si="89"/>
        <v>0.11728533803050227</v>
      </c>
      <c r="Y328" s="2">
        <f t="shared" si="90"/>
        <v>0.10928020503416074</v>
      </c>
      <c r="Z328" s="2">
        <f t="shared" si="91"/>
        <v>0.10579568013572224</v>
      </c>
      <c r="AA328" s="2">
        <f t="shared" si="92"/>
        <v>0.11798772791544039</v>
      </c>
      <c r="AB328" s="2">
        <f t="shared" si="93"/>
        <v>0.10026757173055721</v>
      </c>
      <c r="AC328" s="2">
        <f t="shared" si="94"/>
        <v>0.1151901624778385</v>
      </c>
      <c r="AD328" s="2">
        <f t="shared" si="95"/>
        <v>0.10227444344259566</v>
      </c>
      <c r="AE328" s="2">
        <f t="shared" si="96"/>
        <v>0.10987695088187602</v>
      </c>
      <c r="AF328" s="2">
        <f t="shared" si="97"/>
        <v>0.11908712371493149</v>
      </c>
      <c r="AG328" s="2">
        <f t="shared" si="98"/>
        <v>9.9235315312320327E-2</v>
      </c>
      <c r="AH328" s="2">
        <f t="shared" si="99"/>
        <v>0.1199891551819615</v>
      </c>
      <c r="AI328" s="2">
        <f t="shared" si="100"/>
        <v>0.10099811712417744</v>
      </c>
      <c r="AJ328" s="2">
        <f>0.140383051186066*(8350/2783.333)</f>
        <v>0.42114920399522721</v>
      </c>
      <c r="AK328" s="2">
        <f>0.217037527017521*(8350/2783.333)</f>
        <v>0.65111265903012694</v>
      </c>
      <c r="AL328" s="2">
        <f>0.346642405989696*(8350/2783.333)</f>
        <v>1.0399273425112847</v>
      </c>
      <c r="AM328" s="2">
        <f>0.35329571347982*(8350/2783.333)</f>
        <v>1.0598872673720683</v>
      </c>
      <c r="AN328" s="2">
        <f>0.240059005176755*(8350/2783.333)</f>
        <v>0.72017710177901872</v>
      </c>
      <c r="AO328" s="2">
        <f>0.118197886555552*(8350/2783.333)</f>
        <v>0.35459370213296731</v>
      </c>
      <c r="AP328" s="2">
        <f>0.127271329207151*(8350/2783.333)</f>
        <v>0.38181403334768482</v>
      </c>
      <c r="AQ328" s="2">
        <f>0.155165427353479*(8350/2783.333)</f>
        <v>0.46549633780850053</v>
      </c>
      <c r="AR328" s="2">
        <f>0.173957184031996*(8350/2783.333)</f>
        <v>0.52187161459558284</v>
      </c>
      <c r="AS328" s="2">
        <f>0.204998706800994*(8350/2783.333)</f>
        <v>0.61499619405522132</v>
      </c>
      <c r="AT328" s="2">
        <f>0.223792132544001*(8350/2783.333)</f>
        <v>0.67137647803637157</v>
      </c>
      <c r="AU328" s="2">
        <f>0.098025200091163*(8350/2783.333)</f>
        <v>0.2940756354921279</v>
      </c>
      <c r="AV328" s="2">
        <f>0.0938666904531375*(8350/2783.333)</f>
        <v>0.28160010508397604</v>
      </c>
      <c r="AW328" s="2">
        <f>0.105694830045828*(8350/2783.333)</f>
        <v>0.31708452811168047</v>
      </c>
    </row>
    <row r="329" spans="1:49" x14ac:dyDescent="0.25">
      <c r="A329" s="5">
        <v>45951</v>
      </c>
      <c r="B329" s="2">
        <f>0.281576824259433*(8350/2783.333)</f>
        <v>0.84473057394363715</v>
      </c>
      <c r="C329" s="2">
        <f>0.26672040715401*(8350/2783.333)</f>
        <v>0.80016131728973139</v>
      </c>
      <c r="D329" s="2">
        <f>0.193258989600038*(8350/2783.333)</f>
        <v>0.57977703823449012</v>
      </c>
      <c r="E329" s="2">
        <f>0.213575095757154*(8350/2783.333)</f>
        <v>0.64072536400503766</v>
      </c>
      <c r="F329" s="2">
        <f>0.201537517241249*(8350/2783.333)</f>
        <v>0.60461262413244443</v>
      </c>
      <c r="G329" s="2">
        <f>0.234057706662638*(8350/2783.333)</f>
        <v>0.70217320408051298</v>
      </c>
      <c r="H329" s="2">
        <f>0.21917146949545*(8350/2783.333)</f>
        <v>0.65751448723059991</v>
      </c>
      <c r="I329" s="2">
        <f>0.20410236903661*(8350/2783.333)</f>
        <v>0.61230718044003185</v>
      </c>
      <c r="J329" s="2">
        <f>0.177062141506208*(8350/2783.333)</f>
        <v>0.53118648813377189</v>
      </c>
      <c r="K329" s="2">
        <f>0.254557105305879*(8350/2783.333)</f>
        <v>0.76367140737529204</v>
      </c>
      <c r="L329" s="2">
        <f>0.255457046193284*(8350/2783.333)</f>
        <v>0.76637123036083743</v>
      </c>
      <c r="M329" s="2">
        <f>0.259926065264845*(8350/2783.333)</f>
        <v>0.77977828918115522</v>
      </c>
      <c r="N329" s="2">
        <f>0.182814247372767*(8350/2783.333)</f>
        <v>0.54844280780007326</v>
      </c>
      <c r="O329" s="2">
        <f>0.417275141856262*(8350/2783.333)</f>
        <v>1.2518255754880172</v>
      </c>
      <c r="P329" s="2">
        <f>0.430636885788522*(8350/2783.333)</f>
        <v>1.2919108120854246</v>
      </c>
      <c r="Q329" s="2">
        <f>0.401854526279252*(8350/2783.333)</f>
        <v>1.2055637232166461</v>
      </c>
      <c r="R329" s="2">
        <f>0.546364202240797*(8350/2783.333)</f>
        <v>1.6390928030209289</v>
      </c>
      <c r="S329" s="2">
        <f>0.249612263574094*(8350/2783.333)</f>
        <v>0.74883688040334462</v>
      </c>
      <c r="T329" s="2">
        <f t="shared" si="85"/>
        <v>0.10069243236843764</v>
      </c>
      <c r="U329" s="2">
        <f t="shared" si="86"/>
        <v>0.11437794326585224</v>
      </c>
      <c r="V329" s="2">
        <f t="shared" si="87"/>
        <v>0.11043877033537902</v>
      </c>
      <c r="W329" s="2">
        <f t="shared" si="88"/>
        <v>0.10705744606724045</v>
      </c>
      <c r="X329" s="2">
        <f t="shared" si="89"/>
        <v>0.11728533803050227</v>
      </c>
      <c r="Y329" s="2">
        <f t="shared" si="90"/>
        <v>0.10928020503416074</v>
      </c>
      <c r="Z329" s="2">
        <f t="shared" si="91"/>
        <v>0.10579568013572224</v>
      </c>
      <c r="AA329" s="2">
        <f t="shared" si="92"/>
        <v>0.11798772791544039</v>
      </c>
      <c r="AB329" s="2">
        <f t="shared" si="93"/>
        <v>0.10026757173055721</v>
      </c>
      <c r="AC329" s="2">
        <f t="shared" si="94"/>
        <v>0.1151901624778385</v>
      </c>
      <c r="AD329" s="2">
        <f t="shared" si="95"/>
        <v>0.10227444344259566</v>
      </c>
      <c r="AE329" s="2">
        <f t="shared" si="96"/>
        <v>0.10987695088187602</v>
      </c>
      <c r="AF329" s="2">
        <f t="shared" si="97"/>
        <v>0.11908712371493149</v>
      </c>
      <c r="AG329" s="2">
        <f t="shared" si="98"/>
        <v>9.9235315312320327E-2</v>
      </c>
      <c r="AH329" s="2">
        <f t="shared" si="99"/>
        <v>0.1199891551819615</v>
      </c>
      <c r="AI329" s="2">
        <f t="shared" si="100"/>
        <v>0.10099811712417744</v>
      </c>
      <c r="AJ329" s="2">
        <f>0.120674847455841*(8350/2783.333)</f>
        <v>0.36202458572375934</v>
      </c>
      <c r="AK329" s="2">
        <f>0.247314861587645*(8350/2783.333)</f>
        <v>0.74194467361858363</v>
      </c>
      <c r="AL329" s="2">
        <f>0.334857713912103*(8350/2783.333)</f>
        <v>1.0045732620444832</v>
      </c>
      <c r="AM329" s="2">
        <f>0.244563917656751*(8350/2783.333)</f>
        <v>0.73369184083754047</v>
      </c>
      <c r="AN329" s="2">
        <f>0.24533843996072*(8350/2783.333)</f>
        <v>0.7360154080277167</v>
      </c>
      <c r="AO329" s="2">
        <f>0.114317652906001*(8350/2783.333)</f>
        <v>0.34295299979021826</v>
      </c>
      <c r="AP329" s="2">
        <f>0.138432558339192*(8350/2783.333)</f>
        <v>0.41529772475382987</v>
      </c>
      <c r="AQ329" s="2">
        <f>0.201748934473792*(8350/2783.333)</f>
        <v>0.60524687590603088</v>
      </c>
      <c r="AR329" s="2">
        <f>0.226716029517756*(8350/2783.333)</f>
        <v>0.6801481700081401</v>
      </c>
      <c r="AS329" s="2">
        <f>0.232331867707793*(8350/2783.333)</f>
        <v>0.69699568659591715</v>
      </c>
      <c r="AT329" s="2">
        <f>0.241006911970463*(8350/2783.333)</f>
        <v>0.72302082250070787</v>
      </c>
      <c r="AU329" s="2">
        <f>0.207660829973157*(8350/2783.333)</f>
        <v>0.62298256452816281</v>
      </c>
      <c r="AV329" s="2">
        <f>0.127169229145257*(8350/2783.333)</f>
        <v>0.38150773312532044</v>
      </c>
      <c r="AW329" s="2">
        <f>0.136159810470803*(8350/2783.333)</f>
        <v>0.40847948033210607</v>
      </c>
    </row>
    <row r="330" spans="1:49" x14ac:dyDescent="0.25">
      <c r="A330" s="5">
        <v>45952</v>
      </c>
      <c r="B330" s="2">
        <f>0.384774963830469*(8350/2783.333)</f>
        <v>1.1543250297339251</v>
      </c>
      <c r="C330" s="2">
        <f>0.312375251621813*(8350/2783.333)</f>
        <v>0.93712586709608214</v>
      </c>
      <c r="D330" s="2">
        <f>0.240986918205716*(8350/2783.333)</f>
        <v>0.7229608411992835</v>
      </c>
      <c r="E330" s="2">
        <f>0.282141503939494*(8350/2783.333)</f>
        <v>0.84642461318669848</v>
      </c>
      <c r="F330" s="2">
        <f>0.218332310344686*(8350/2783.333)</f>
        <v>0.65499700947681483</v>
      </c>
      <c r="G330" s="2">
        <f>0.300389850251239*(8350/2783.333)</f>
        <v>0.90116965867822851</v>
      </c>
      <c r="H330" s="2">
        <f>0.30321107435645*(8350/2783.333)</f>
        <v>0.90963333200747476</v>
      </c>
      <c r="I330" s="2">
        <f>0.287048080654228*(8350/2783.333)</f>
        <v>0.86114434509374294</v>
      </c>
      <c r="J330" s="2">
        <f>0.24202453794249*(8350/2783.333)</f>
        <v>0.72607370078240419</v>
      </c>
      <c r="K330" s="2">
        <f>0.327886312595639*(8350/2783.333)</f>
        <v>0.98365905559039757</v>
      </c>
      <c r="L330" s="2">
        <f>0.303719289448041*(8350/2783.333)</f>
        <v>0.91115797746483851</v>
      </c>
      <c r="M330" s="2">
        <f>0.416762809729734*(8350/2783.333)</f>
        <v>1.2502885789243612</v>
      </c>
      <c r="N330" s="2">
        <f>0.25688553725656*(8350/2783.333)</f>
        <v>0.77065670406389575</v>
      </c>
      <c r="O330" s="2">
        <f>0.541969423671095*(8350/2783.333)</f>
        <v>1.6259084657328617</v>
      </c>
      <c r="P330" s="2">
        <f>0.362959217050987*(8350/2783.333)</f>
        <v>1.0888777815574848</v>
      </c>
      <c r="Q330" s="2">
        <f>0.629666423219251*(8350/2783.333)</f>
        <v>1.8889994958852376</v>
      </c>
      <c r="R330" s="2">
        <f>0.628616578736175*(8350/2783.333)</f>
        <v>1.8858499620588209</v>
      </c>
      <c r="S330" s="2">
        <f>0.257162264138989*(8350/2783.333)</f>
        <v>0.77148688481060623</v>
      </c>
      <c r="T330" s="2">
        <f t="shared" si="85"/>
        <v>0.10069243236843764</v>
      </c>
      <c r="U330" s="2">
        <f t="shared" si="86"/>
        <v>0.11437794326585224</v>
      </c>
      <c r="V330" s="2">
        <f t="shared" si="87"/>
        <v>0.11043877033537902</v>
      </c>
      <c r="W330" s="2">
        <f t="shared" si="88"/>
        <v>0.10705744606724045</v>
      </c>
      <c r="X330" s="2">
        <f t="shared" si="89"/>
        <v>0.11728533803050227</v>
      </c>
      <c r="Y330" s="2">
        <f t="shared" si="90"/>
        <v>0.10928020503416074</v>
      </c>
      <c r="Z330" s="2">
        <f t="shared" si="91"/>
        <v>0.10579568013572224</v>
      </c>
      <c r="AA330" s="2">
        <f t="shared" si="92"/>
        <v>0.11798772791544039</v>
      </c>
      <c r="AB330" s="2">
        <f t="shared" si="93"/>
        <v>0.10026757173055721</v>
      </c>
      <c r="AC330" s="2">
        <f t="shared" si="94"/>
        <v>0.1151901624778385</v>
      </c>
      <c r="AD330" s="2">
        <f t="shared" si="95"/>
        <v>0.10227444344259566</v>
      </c>
      <c r="AE330" s="2">
        <f t="shared" si="96"/>
        <v>0.10987695088187602</v>
      </c>
      <c r="AF330" s="2">
        <f t="shared" si="97"/>
        <v>0.11908712371493149</v>
      </c>
      <c r="AG330" s="2">
        <f t="shared" si="98"/>
        <v>9.9235315312320327E-2</v>
      </c>
      <c r="AH330" s="2">
        <f t="shared" si="99"/>
        <v>0.1199891551819615</v>
      </c>
      <c r="AI330" s="2">
        <f t="shared" si="100"/>
        <v>0.10099811712417744</v>
      </c>
      <c r="AJ330" s="2">
        <f>0.133257777529754*(8350/2783.333)</f>
        <v>0.39977338046631211</v>
      </c>
      <c r="AK330" s="2">
        <f>0.246115759228432*(8350/2783.333)</f>
        <v>0.73834736611012963</v>
      </c>
      <c r="AL330" s="2">
        <f>0.167860004227183*(8350/2783.333)</f>
        <v>0.50358007299053886</v>
      </c>
      <c r="AM330" s="2">
        <f>0.309670798438346*(8350/2783.333)</f>
        <v>0.92901250657402012</v>
      </c>
      <c r="AN330" s="2">
        <f>0.238506230240294*(8350/2783.333)</f>
        <v>0.71551877641175488</v>
      </c>
      <c r="AO330" s="2">
        <f>0.102229232690092*(8350/2783.333)</f>
        <v>0.30668773479934663</v>
      </c>
      <c r="AP330" s="2">
        <f>0.135767190188257*(8350/2783.333)</f>
        <v>0.40730161934340681</v>
      </c>
      <c r="AQ330" s="2">
        <f>0.187689185052024*(8350/2783.333)</f>
        <v>0.56306762258932141</v>
      </c>
      <c r="AR330" s="2">
        <f>0.21446552360001*(8350/2783.333)</f>
        <v>0.64339664785352191</v>
      </c>
      <c r="AS330" s="2">
        <f>0.201300690913604*(8350/2783.333)</f>
        <v>0.6039021450644213</v>
      </c>
      <c r="AT330" s="2">
        <f>0.122306909068003*(8350/2783.333)</f>
        <v>0.36692077114661753</v>
      </c>
      <c r="AU330" s="2">
        <f>0.101840055593865*(8350/2783.333)</f>
        <v>0.30552020337084002</v>
      </c>
      <c r="AV330" s="2">
        <f>0.0918530485787303*(8350/2783.333)</f>
        <v>0.27555917873729008</v>
      </c>
      <c r="AW330" s="2">
        <f>0.130408768247721*(8350/2783.333)</f>
        <v>0.39122635159661739</v>
      </c>
    </row>
    <row r="331" spans="1:49" x14ac:dyDescent="0.25">
      <c r="A331" s="5">
        <v>45953</v>
      </c>
      <c r="B331" s="2">
        <f>0.316598817326527*(8350/2783.333)</f>
        <v>0.94979656572767157</v>
      </c>
      <c r="C331" s="2">
        <f>0.333040075959872*(8350/2783.333)</f>
        <v>0.99912034753474599</v>
      </c>
      <c r="D331" s="2">
        <f>0.265633307567664*(8350/2783.333)</f>
        <v>0.7969000181401189</v>
      </c>
      <c r="E331" s="2">
        <f>0.266853048060999*(8350/2783.333)</f>
        <v>0.80055924005835533</v>
      </c>
      <c r="F331" s="2">
        <f>0.182399264635006*(8350/2783.333)</f>
        <v>0.54719785943769694</v>
      </c>
      <c r="G331" s="2">
        <f>0.224107885124348*(8350/2783.333)</f>
        <v>0.67232373589085548</v>
      </c>
      <c r="H331" s="2">
        <f>0.222036456024802*(8350/2783.333)</f>
        <v>0.66610944784799342</v>
      </c>
      <c r="I331" s="2">
        <f>0.219013957642025*(8350/2783.333)</f>
        <v>0.65704195161373269</v>
      </c>
      <c r="J331" s="2">
        <f>0.186568833667615*(8350/2783.333)</f>
        <v>0.55970656803357177</v>
      </c>
      <c r="K331" s="2">
        <f>0.218940061765139*(8350/2783.333)</f>
        <v>0.65682026395652759</v>
      </c>
      <c r="L331" s="2">
        <f>0.24713596977005*(8350/2783.333)</f>
        <v>0.74140799810152669</v>
      </c>
      <c r="M331" s="2">
        <f>0.222919642413579*(8350/2783.333)</f>
        <v>0.66875900733163485</v>
      </c>
      <c r="N331" s="2">
        <f>0.184784228486697*(8350/2783.333)</f>
        <v>0.55435275184964294</v>
      </c>
      <c r="O331" s="2">
        <f>0.444317275261889*(8350/2783.333)</f>
        <v>1.3329519854206346</v>
      </c>
      <c r="P331" s="2">
        <f>0.408652420147667*(8350/2783.333)</f>
        <v>1.2259574072642467</v>
      </c>
      <c r="Q331" s="2">
        <f>0.523071208501985*(8350/2783.333)</f>
        <v>1.5692138134357518</v>
      </c>
      <c r="R331" s="2">
        <f>0.799076254912119*(8350/2783.333)</f>
        <v>2.3972290518296551</v>
      </c>
      <c r="S331" s="2">
        <f>0.223418384063232*(8350/2783.333)</f>
        <v>0.67025523245978336</v>
      </c>
      <c r="T331" s="2">
        <f t="shared" si="85"/>
        <v>0.10069243236843764</v>
      </c>
      <c r="U331" s="2">
        <f t="shared" si="86"/>
        <v>0.11437794326585224</v>
      </c>
      <c r="V331" s="2">
        <f t="shared" si="87"/>
        <v>0.11043877033537902</v>
      </c>
      <c r="W331" s="2">
        <f t="shared" si="88"/>
        <v>0.10705744606724045</v>
      </c>
      <c r="X331" s="2">
        <f t="shared" si="89"/>
        <v>0.11728533803050227</v>
      </c>
      <c r="Y331" s="2">
        <f t="shared" si="90"/>
        <v>0.10928020503416074</v>
      </c>
      <c r="Z331" s="2">
        <f t="shared" si="91"/>
        <v>0.10579568013572224</v>
      </c>
      <c r="AA331" s="2">
        <f t="shared" si="92"/>
        <v>0.11798772791544039</v>
      </c>
      <c r="AB331" s="2">
        <f t="shared" si="93"/>
        <v>0.10026757173055721</v>
      </c>
      <c r="AC331" s="2">
        <f t="shared" si="94"/>
        <v>0.1151901624778385</v>
      </c>
      <c r="AD331" s="2">
        <f t="shared" si="95"/>
        <v>0.10227444344259566</v>
      </c>
      <c r="AE331" s="2">
        <f t="shared" si="96"/>
        <v>0.10987695088187602</v>
      </c>
      <c r="AF331" s="2">
        <f t="shared" si="97"/>
        <v>0.11908712371493149</v>
      </c>
      <c r="AG331" s="2">
        <f t="shared" si="98"/>
        <v>9.9235315312320327E-2</v>
      </c>
      <c r="AH331" s="2">
        <f t="shared" si="99"/>
        <v>0.1199891551819615</v>
      </c>
      <c r="AI331" s="2">
        <f t="shared" si="100"/>
        <v>0.10099811712417744</v>
      </c>
      <c r="AJ331" s="2">
        <f>0.132196566559664*(8350/2783.333)</f>
        <v>0.39658974717477136</v>
      </c>
      <c r="AK331" s="2">
        <f>0.615139510276178*(8350/2783.333)</f>
        <v>1.845418751836768</v>
      </c>
      <c r="AL331" s="2">
        <f>0.513927547188704*(8350/2783.333)</f>
        <v>1.5417828262107607</v>
      </c>
      <c r="AM331" s="2">
        <f>0.468306853134617*(8350/2783.333)</f>
        <v>1.4049207276578306</v>
      </c>
      <c r="AN331" s="2">
        <f>0.257760639452402*(8350/2783.333)</f>
        <v>0.7732820109658286</v>
      </c>
      <c r="AO331" s="2">
        <f>0.120287243136079*(8350/2783.333)</f>
        <v>0.36086177262521635</v>
      </c>
      <c r="AP331" s="2">
        <f>0.139765242414659*(8350/2783.333)</f>
        <v>0.41929577745904106</v>
      </c>
      <c r="AQ331" s="2">
        <f>0.152455114211933*(8350/2783.333)</f>
        <v>0.45736539741009841</v>
      </c>
      <c r="AR331" s="2">
        <f>0.203358398234587*(8350/2783.333)</f>
        <v>0.61007526776666798</v>
      </c>
      <c r="AS331" s="2">
        <f>0.260629728411303*(8350/2783.333)</f>
        <v>0.78188927887334392</v>
      </c>
      <c r="AT331" s="2">
        <f>0.190838126213346*(8350/2783.333)</f>
        <v>0.57251444720464217</v>
      </c>
      <c r="AU331" s="2">
        <f>0.121246059672826*(8350/2783.333)</f>
        <v>0.36373822257994148</v>
      </c>
      <c r="AV331" s="2">
        <f>0.0913883619923286*(8350/2783.333)</f>
        <v>0.27416511881113176</v>
      </c>
      <c r="AW331" s="2">
        <f>0.0865765004934213*(8350/2783.333)</f>
        <v>0.25972953258559706</v>
      </c>
    </row>
    <row r="332" spans="1:49" x14ac:dyDescent="0.25">
      <c r="A332" s="5">
        <v>45954</v>
      </c>
      <c r="B332" s="2">
        <f>0.296986501208954*(8350/2783.333)</f>
        <v>0.89095961032861171</v>
      </c>
      <c r="C332" s="2">
        <f>0.222026717306581*(8350/2783.333)</f>
        <v>0.66608023168983066</v>
      </c>
      <c r="D332" s="2">
        <f>0.202648090309352*(8350/2783.333)</f>
        <v>0.60794434373576123</v>
      </c>
      <c r="E332" s="2">
        <f>0.239055855554645*(8350/2783.333)</f>
        <v>0.71716765255227688</v>
      </c>
      <c r="F332" s="2">
        <f>0.208958472333466*(8350/2783.333)</f>
        <v>0.62687549207530635</v>
      </c>
      <c r="G332" s="2">
        <f>0.232636303585739*(8350/2783.333)</f>
        <v>0.69790899433913345</v>
      </c>
      <c r="H332" s="2">
        <f>0.249253828053649*(8350/2783.333)</f>
        <v>0.74776157371323126</v>
      </c>
      <c r="I332" s="2">
        <f>0.250235096284611*(8350/2783.333)</f>
        <v>0.75070537875866872</v>
      </c>
      <c r="J332" s="2">
        <f>0.207562778857389*(8350/2783.333)</f>
        <v>0.62268841114563001</v>
      </c>
      <c r="K332" s="2">
        <f>0.273936967232459*(8350/2783.333)</f>
        <v>0.82181100011785613</v>
      </c>
      <c r="L332" s="2">
        <f>0.278340006357177*(8350/2783.333)</f>
        <v>0.83502011907394191</v>
      </c>
      <c r="M332" s="2">
        <f>0.281513145261417*(8350/2783.333)</f>
        <v>0.84453953692670924</v>
      </c>
      <c r="N332" s="2">
        <f>0.212363964081727*(8350/2783.333)</f>
        <v>0.63709196854362005</v>
      </c>
      <c r="O332" s="2">
        <f>0.349294223156007*(8350/2783.333)</f>
        <v>1.0478827949629674</v>
      </c>
      <c r="P332" s="2">
        <f>0.4263262062511*(8350/2783.333)</f>
        <v>1.2789787719244095</v>
      </c>
      <c r="Q332" s="2">
        <f>0.534391054312668*(8350/2783.333)</f>
        <v>1.6031733549348126</v>
      </c>
      <c r="R332" s="2">
        <f>0.722778801601926*(8350/2783.333)</f>
        <v>2.1683366644868145</v>
      </c>
      <c r="S332" s="2">
        <f>0.392137784442018*(8350/2783.333)</f>
        <v>1.1764134942138962</v>
      </c>
      <c r="T332" s="2">
        <f t="shared" si="85"/>
        <v>0.10069243236843764</v>
      </c>
      <c r="U332" s="2">
        <f t="shared" si="86"/>
        <v>0.11437794326585224</v>
      </c>
      <c r="V332" s="2">
        <f t="shared" si="87"/>
        <v>0.11043877033537902</v>
      </c>
      <c r="W332" s="2">
        <f t="shared" si="88"/>
        <v>0.10705744606724045</v>
      </c>
      <c r="X332" s="2">
        <f t="shared" si="89"/>
        <v>0.11728533803050227</v>
      </c>
      <c r="Y332" s="2">
        <f t="shared" si="90"/>
        <v>0.10928020503416074</v>
      </c>
      <c r="Z332" s="2">
        <f t="shared" si="91"/>
        <v>0.10579568013572224</v>
      </c>
      <c r="AA332" s="2">
        <f t="shared" si="92"/>
        <v>0.11798772791544039</v>
      </c>
      <c r="AB332" s="2">
        <f t="shared" si="93"/>
        <v>0.10026757173055721</v>
      </c>
      <c r="AC332" s="2">
        <f t="shared" si="94"/>
        <v>0.1151901624778385</v>
      </c>
      <c r="AD332" s="2">
        <f t="shared" si="95"/>
        <v>0.10227444344259566</v>
      </c>
      <c r="AE332" s="2">
        <f t="shared" si="96"/>
        <v>0.10987695088187602</v>
      </c>
      <c r="AF332" s="2">
        <f t="shared" si="97"/>
        <v>0.11908712371493149</v>
      </c>
      <c r="AG332" s="2">
        <f t="shared" si="98"/>
        <v>9.9235315312320327E-2</v>
      </c>
      <c r="AH332" s="2">
        <f t="shared" si="99"/>
        <v>0.1199891551819615</v>
      </c>
      <c r="AI332" s="2">
        <f t="shared" si="100"/>
        <v>0.10099811712417744</v>
      </c>
      <c r="AJ332" s="2">
        <f>0.108395120516239*(8350/2783.333)</f>
        <v>0.32518540049307515</v>
      </c>
      <c r="AK332" s="2">
        <f>0.219435731735946*(8350/2783.333)</f>
        <v>0.65830727404703393</v>
      </c>
      <c r="AL332" s="2">
        <f>0.210399868312154*(8350/2783.333)</f>
        <v>0.63119968052923747</v>
      </c>
      <c r="AM332" s="2">
        <f>0.496398654487082*(8350/2783.333)</f>
        <v>1.489196141808089</v>
      </c>
      <c r="AN332" s="2">
        <f>0.489434659972271*(8350/2783.333)</f>
        <v>1.4683041557616219</v>
      </c>
      <c r="AO332" s="2">
        <f>0.141479288452858*(8350/2783.333)</f>
        <v>0.4244379161894607</v>
      </c>
      <c r="AP332" s="2">
        <f>0.133268407546755*(8350/2783.333)</f>
        <v>0.39980527052113601</v>
      </c>
      <c r="AQ332" s="2">
        <f>0.139750521360939*(8350/2783.333)</f>
        <v>0.41925161429259028</v>
      </c>
      <c r="AR332" s="2">
        <f>0.150436212669923*(8350/2783.333)</f>
        <v>0.4513086920587156</v>
      </c>
      <c r="AS332" s="2">
        <f>0.150171601687944*(8350/2783.333)</f>
        <v>0.45051485901770705</v>
      </c>
      <c r="AT332" s="2">
        <f>0.23756395608517*(8350/2783.333)</f>
        <v>0.71269195360784032</v>
      </c>
      <c r="AU332" s="2">
        <f>0.1781371656479*(8350/2783.333)</f>
        <v>0.53441156094508513</v>
      </c>
      <c r="AV332" s="2">
        <f>0.176426007303834*(8350/2783.333)</f>
        <v>0.52927808529809994</v>
      </c>
      <c r="AW332" s="2">
        <f>0.131807670410092*(8350/2783.333)</f>
        <v>0.39542305858633059</v>
      </c>
    </row>
    <row r="333" spans="1:49" x14ac:dyDescent="0.25">
      <c r="A333" s="5">
        <v>45955</v>
      </c>
      <c r="B333" s="2">
        <f>0.330140654645803*(8350/2783.333)</f>
        <v>0.9904220825508312</v>
      </c>
      <c r="C333" s="2">
        <f>0.248458469366888*(8350/2783.333)</f>
        <v>0.74537549736719089</v>
      </c>
      <c r="D333" s="2">
        <f>0.183087463831615*(8350/2783.333)</f>
        <v>0.54926245727478029</v>
      </c>
      <c r="E333" s="2">
        <f>0.214964955382472*(8350/2783.333)</f>
        <v>0.64489494338034214</v>
      </c>
      <c r="F333" s="2">
        <f>0.190601372894825*(8350/2783.333)</f>
        <v>0.57180418716401771</v>
      </c>
      <c r="G333" s="2">
        <f>0.225055487175613*(8350/2783.333)</f>
        <v>0.67516654238510809</v>
      </c>
      <c r="H333" s="2">
        <f>0.213918994191638*(8350/2783.333)</f>
        <v>0.64175705943204542</v>
      </c>
      <c r="I333" s="2">
        <f>0.224605803369055*(8350/2783.333)</f>
        <v>0.6738174908038701</v>
      </c>
      <c r="J333" s="2">
        <f>0.162405991090705*(8350/2783.333)</f>
        <v>0.48721803162158045</v>
      </c>
      <c r="K333" s="2">
        <f>0.244081504264485*(8350/2783.333)</f>
        <v>0.73224460048742057</v>
      </c>
      <c r="L333" s="2">
        <f>0.254208884729799*(8350/2783.333)</f>
        <v>0.76262674552194043</v>
      </c>
      <c r="M333" s="2">
        <f>0.259485512611853*(8350/2783.333)</f>
        <v>0.77845663106389917</v>
      </c>
      <c r="N333" s="2">
        <f>0.224971843210883*(8350/2783.333)</f>
        <v>0.67491561046086612</v>
      </c>
      <c r="O333" s="2">
        <f>0.179154133812275*(8350/2783.333)</f>
        <v>0.53746246580358614</v>
      </c>
      <c r="P333" s="2">
        <f>0.312955334416884*(8350/2783.333)</f>
        <v>0.93886611568970813</v>
      </c>
      <c r="Q333" s="2">
        <f>0.414589352816271*(8350/2783.333)</f>
        <v>1.2437682074030894</v>
      </c>
      <c r="R333" s="2">
        <f>0.258666975856508*(8350/2783.333)</f>
        <v>0.77600102050377728</v>
      </c>
      <c r="S333" s="2">
        <f>0.0841285777231204*(8350/2783.333)</f>
        <v>0.25238576339520125</v>
      </c>
      <c r="T333" s="2">
        <f t="shared" si="85"/>
        <v>0.10069243236843764</v>
      </c>
      <c r="U333" s="2">
        <f t="shared" si="86"/>
        <v>0.11437794326585224</v>
      </c>
      <c r="V333" s="2">
        <f t="shared" si="87"/>
        <v>0.11043877033537902</v>
      </c>
      <c r="W333" s="2">
        <f t="shared" si="88"/>
        <v>0.10705744606724045</v>
      </c>
      <c r="X333" s="2">
        <f t="shared" si="89"/>
        <v>0.11728533803050227</v>
      </c>
      <c r="Y333" s="2">
        <f t="shared" si="90"/>
        <v>0.10928020503416074</v>
      </c>
      <c r="Z333" s="2">
        <f t="shared" si="91"/>
        <v>0.10579568013572224</v>
      </c>
      <c r="AA333" s="2">
        <f t="shared" si="92"/>
        <v>0.11798772791544039</v>
      </c>
      <c r="AB333" s="2">
        <f t="shared" si="93"/>
        <v>0.10026757173055721</v>
      </c>
      <c r="AC333" s="2">
        <f t="shared" si="94"/>
        <v>0.1151901624778385</v>
      </c>
      <c r="AD333" s="2">
        <f t="shared" si="95"/>
        <v>0.10227444344259566</v>
      </c>
      <c r="AE333" s="2">
        <f t="shared" si="96"/>
        <v>0.10987695088187602</v>
      </c>
      <c r="AF333" s="2">
        <f t="shared" si="97"/>
        <v>0.11908712371493149</v>
      </c>
      <c r="AG333" s="2">
        <f t="shared" si="98"/>
        <v>9.9235315312320327E-2</v>
      </c>
      <c r="AH333" s="2">
        <f t="shared" si="99"/>
        <v>0.1199891551819615</v>
      </c>
      <c r="AI333" s="2">
        <f t="shared" si="100"/>
        <v>0.10099811712417744</v>
      </c>
      <c r="AJ333" s="2">
        <f>0.102634260964327*(8350/2783.333)</f>
        <v>0.307902819767569</v>
      </c>
      <c r="AK333" s="2">
        <f>0.236522940354729*(8350/2783.333)</f>
        <v>0.7095689060425</v>
      </c>
      <c r="AL333" s="2">
        <f>0.232244663382814*(8350/2783.333)</f>
        <v>0.69673407358964989</v>
      </c>
      <c r="AM333" s="2">
        <f>0.296451127213657*(8350/2783.333)</f>
        <v>0.88935348815036952</v>
      </c>
      <c r="AN333" s="2">
        <f>0.256828974490525*(8350/2783.333)</f>
        <v>0.77048701574546996</v>
      </c>
      <c r="AO333" s="2">
        <f>0.142374726987369*(8350/2783.333)</f>
        <v>0.42712423211471023</v>
      </c>
      <c r="AP333" s="2">
        <f>0.139098900376926*(8350/2783.333)</f>
        <v>0.4172967511064356</v>
      </c>
      <c r="AQ333" s="2">
        <f>0.166853652776393*(8350/2783.333)</f>
        <v>0.50056101827660782</v>
      </c>
      <c r="AR333" s="2">
        <f>0.158766556693991*(8350/2783.333)</f>
        <v>0.47629972712385615</v>
      </c>
      <c r="AS333" s="2">
        <f>0.16994794752051*(8350/2783.333)</f>
        <v>0.50984390362068133</v>
      </c>
      <c r="AT333" s="2">
        <f>0.133947378965897*(8350/2783.333)</f>
        <v>0.40184218502250207</v>
      </c>
      <c r="AU333" s="2">
        <f>0.137666524662716*(8350/2783.333)</f>
        <v>0.41299962344918134</v>
      </c>
      <c r="AV333" s="2">
        <f>0.112144362851603*(8350/2783.333)</f>
        <v>0.3364331288462023</v>
      </c>
      <c r="AW333" s="2">
        <f>0.093260144158084*(8350/2783.333)</f>
        <v>0.27978046598089451</v>
      </c>
    </row>
    <row r="334" spans="1:49" x14ac:dyDescent="0.25">
      <c r="A334" s="5">
        <v>45956</v>
      </c>
      <c r="B334" s="2">
        <f>0.235347793410869*(8350/2783.333)</f>
        <v>0.70604346478871172</v>
      </c>
      <c r="C334" s="2">
        <f>0.248939046677076*(8350/2783.333)</f>
        <v>0.74681722947041596</v>
      </c>
      <c r="D334" s="2">
        <f>0.404122543030039*(8350/2783.333)</f>
        <v>1.212367774283863</v>
      </c>
      <c r="E334" s="2">
        <f>0.433172916557351*(8350/2783.333)</f>
        <v>1.2995189053030596</v>
      </c>
      <c r="F334" s="2">
        <f>0.177712345629396*(8350/2783.333)</f>
        <v>0.53313710073694254</v>
      </c>
      <c r="G334" s="2">
        <f>0.235005308713904*(8350/2783.333)</f>
        <v>0.70501601057476626</v>
      </c>
      <c r="H334" s="2">
        <f>0.241136366220484*(8350/2783.333)</f>
        <v>0.72340918529728282</v>
      </c>
      <c r="I334" s="2">
        <f>0.22740172623257*(8350/2783.333)</f>
        <v>0.68220526039893947</v>
      </c>
      <c r="J334" s="2">
        <f>0.184588272800655*(8350/2783.333)</f>
        <v>0.55376488472111352</v>
      </c>
      <c r="K334" s="2">
        <f>0.265032706347274*(8350/2783.333)</f>
        <v>0.79509821426316463</v>
      </c>
      <c r="L334" s="2">
        <f>0.24963229269702*(8350/2783.333)</f>
        <v>0.74889696777931991</v>
      </c>
      <c r="M334" s="2">
        <f>0.266093802406722*(8350/2783.333)</f>
        <v>0.79828150282274246</v>
      </c>
      <c r="N334" s="2">
        <f>0.19778610383864*(8350/2783.333)</f>
        <v>0.59335838257680351</v>
      </c>
      <c r="O334" s="2">
        <f>0.391735349195393*(8350/2783.333)</f>
        <v>1.1752061883294347</v>
      </c>
      <c r="P334" s="2">
        <f>0.34442329504007*(8350/2783.333)</f>
        <v>1.0332700088651199</v>
      </c>
      <c r="Q334" s="2">
        <f>0.709377004136145*(8350/2783.333)</f>
        <v>2.1281312672744552</v>
      </c>
      <c r="R334" s="2">
        <f>0.751064686731558*(8350/2783.333)</f>
        <v>2.253194330038307</v>
      </c>
      <c r="S334" s="2">
        <f>0.284896960091666*(8350/2783.333)</f>
        <v>0.85469098263319943</v>
      </c>
      <c r="T334" s="2">
        <f t="shared" si="85"/>
        <v>0.10069243236843764</v>
      </c>
      <c r="U334" s="2">
        <f t="shared" si="86"/>
        <v>0.11437794326585224</v>
      </c>
      <c r="V334" s="2">
        <f t="shared" si="87"/>
        <v>0.11043877033537902</v>
      </c>
      <c r="W334" s="2">
        <f t="shared" si="88"/>
        <v>0.10705744606724045</v>
      </c>
      <c r="X334" s="2">
        <f t="shared" si="89"/>
        <v>0.11728533803050227</v>
      </c>
      <c r="Y334" s="2">
        <f t="shared" si="90"/>
        <v>0.10928020503416074</v>
      </c>
      <c r="Z334" s="2">
        <f t="shared" si="91"/>
        <v>0.10579568013572224</v>
      </c>
      <c r="AA334" s="2">
        <f t="shared" si="92"/>
        <v>0.11798772791544039</v>
      </c>
      <c r="AB334" s="2">
        <f t="shared" si="93"/>
        <v>0.10026757173055721</v>
      </c>
      <c r="AC334" s="2">
        <f t="shared" si="94"/>
        <v>0.1151901624778385</v>
      </c>
      <c r="AD334" s="2">
        <f t="shared" si="95"/>
        <v>0.10227444344259566</v>
      </c>
      <c r="AE334" s="2">
        <f t="shared" si="96"/>
        <v>0.10987695088187602</v>
      </c>
      <c r="AF334" s="2">
        <f t="shared" si="97"/>
        <v>0.11908712371493149</v>
      </c>
      <c r="AG334" s="2">
        <f t="shared" si="98"/>
        <v>9.9235315312320327E-2</v>
      </c>
      <c r="AH334" s="2">
        <f t="shared" si="99"/>
        <v>0.1199891551819615</v>
      </c>
      <c r="AI334" s="2">
        <f t="shared" si="100"/>
        <v>0.10099811712417744</v>
      </c>
      <c r="AJ334" s="2">
        <f>0.0983894170839704*(8350/2783.333)</f>
        <v>0.29516828660140676</v>
      </c>
      <c r="AK334" s="2">
        <f>0.239520696252761*(8350/2783.333)</f>
        <v>0.71856217481363416</v>
      </c>
      <c r="AL334" s="2">
        <f>0.258975794192965*(8350/2783.333)</f>
        <v>0.77692747562410225</v>
      </c>
      <c r="AM334" s="2">
        <f>0.296781618994274*(8350/2783.333)</f>
        <v>0.89034496361096138</v>
      </c>
      <c r="AN334" s="2">
        <f>0.266766734083871*(8350/2783.333)</f>
        <v>0.80030029809596026</v>
      </c>
      <c r="AO334" s="2">
        <f>0.130734026038716*(8350/2783.333)</f>
        <v>0.39220212508646357</v>
      </c>
      <c r="AP334" s="2">
        <f>0.163753555773075*(8350/2783.333)</f>
        <v>0.49126072615284555</v>
      </c>
      <c r="AQ334" s="2">
        <f>0.237321794456576*(8350/2783.333)</f>
        <v>0.71196546863505328</v>
      </c>
      <c r="AR334" s="2">
        <f>0.202705037918974*(8350/2783.333)</f>
        <v>0.60811518658508834</v>
      </c>
      <c r="AS334" s="2">
        <f>0.192939959342112*(8350/2783.333)</f>
        <v>0.57881994734609077</v>
      </c>
      <c r="AT334" s="2">
        <f>0.109682737488598*(8350/2783.333)</f>
        <v>0.32904825187277087</v>
      </c>
      <c r="AU334" s="2">
        <f>0.109469766599268*(8350/2783.333)</f>
        <v>0.32840933912826464</v>
      </c>
      <c r="AV334" s="2">
        <f>0.105483855113179*(8350/2783.333)</f>
        <v>0.31645160323793348</v>
      </c>
      <c r="AW334" s="2">
        <f>0.103829627162667*(8350/2783.333)</f>
        <v>0.31148891879206253</v>
      </c>
    </row>
    <row r="335" spans="1:49" x14ac:dyDescent="0.25">
      <c r="A335" s="5">
        <v>45957</v>
      </c>
      <c r="B335" s="2">
        <f>0.302590020099689*(8350/2783.333)</f>
        <v>0.90777016901405794</v>
      </c>
      <c r="C335" s="2">
        <f>0.302763705418065*(8350/2783.333)</f>
        <v>0.90829122503158743</v>
      </c>
      <c r="D335" s="2">
        <f>0.20499536548668*(8350/2783.333)</f>
        <v>0.61498617011107892</v>
      </c>
      <c r="E335" s="2">
        <f>0.240445715179963*(8350/2783.333)</f>
        <v>0.72133723192758048</v>
      </c>
      <c r="F335" s="2">
        <f>0.192554255813829*(8350/2783.333)</f>
        <v>0.57766283662266504</v>
      </c>
      <c r="G335" s="2">
        <f>0.244007528200928*(8350/2783.333)</f>
        <v>0.73202267227017048</v>
      </c>
      <c r="H335" s="2">
        <f>0.227288931328615*(8350/2783.333)</f>
        <v>0.68186687564654769</v>
      </c>
      <c r="I335" s="2">
        <f>0.203170394748772*(8350/2783.333)</f>
        <v>0.60951125724167521</v>
      </c>
      <c r="J335" s="2">
        <f>0.205186105817037*(8350/2783.333)</f>
        <v>0.61555839117068001</v>
      </c>
      <c r="K335" s="2">
        <f>0.264508926295204*(8350/2783.333)</f>
        <v>0.79352687391877119</v>
      </c>
      <c r="L335" s="2">
        <f>0.270018929933943*(8350/2783.333)</f>
        <v>0.81005688681463095</v>
      </c>
      <c r="M335" s="2">
        <f>0.263450486488775*(8350/2783.333)</f>
        <v>0.7903515541192051</v>
      </c>
      <c r="N335" s="2">
        <f>0.205666028294363*(8350/2783.333)</f>
        <v>0.61699815877508257</v>
      </c>
      <c r="O335" s="2">
        <f>0.179905304184653*(8350/2783.333)</f>
        <v>0.53971597719060327</v>
      </c>
      <c r="P335" s="2">
        <f>0.490986399312439*(8350/2783.333)</f>
        <v>1.4729593743396383</v>
      </c>
      <c r="Q335" s="2">
        <f>0.342425335773166*(8350/2783.333)</f>
        <v>1.0272761303465792</v>
      </c>
      <c r="R335" s="2">
        <f>0.318216207708366*(8350/2783.333)</f>
        <v>0.95464873745428713</v>
      </c>
      <c r="S335" s="2">
        <f>0.202463280454543*(8350/2783.333)</f>
        <v>0.60738991410493481</v>
      </c>
      <c r="T335" s="2">
        <f t="shared" si="85"/>
        <v>0.10069243236843764</v>
      </c>
      <c r="U335" s="2">
        <f t="shared" si="86"/>
        <v>0.11437794326585224</v>
      </c>
      <c r="V335" s="2">
        <f t="shared" si="87"/>
        <v>0.11043877033537902</v>
      </c>
      <c r="W335" s="2">
        <f t="shared" si="88"/>
        <v>0.10705744606724045</v>
      </c>
      <c r="X335" s="2">
        <f t="shared" si="89"/>
        <v>0.11728533803050227</v>
      </c>
      <c r="Y335" s="2">
        <f t="shared" si="90"/>
        <v>0.10928020503416074</v>
      </c>
      <c r="Z335" s="2">
        <f t="shared" si="91"/>
        <v>0.10579568013572224</v>
      </c>
      <c r="AA335" s="2">
        <f t="shared" si="92"/>
        <v>0.11798772791544039</v>
      </c>
      <c r="AB335" s="2">
        <f t="shared" si="93"/>
        <v>0.10026757173055721</v>
      </c>
      <c r="AC335" s="2">
        <f t="shared" si="94"/>
        <v>0.1151901624778385</v>
      </c>
      <c r="AD335" s="2">
        <f t="shared" si="95"/>
        <v>0.10227444344259566</v>
      </c>
      <c r="AE335" s="2">
        <f t="shared" si="96"/>
        <v>0.10987695088187602</v>
      </c>
      <c r="AF335" s="2">
        <f t="shared" si="97"/>
        <v>0.11908712371493149</v>
      </c>
      <c r="AG335" s="2">
        <f t="shared" si="98"/>
        <v>9.9235315312320327E-2</v>
      </c>
      <c r="AH335" s="2">
        <f t="shared" si="99"/>
        <v>0.1199891551819615</v>
      </c>
      <c r="AI335" s="2">
        <f t="shared" si="100"/>
        <v>0.10099811712417744</v>
      </c>
      <c r="AJ335" s="2">
        <f>0.115975198874017*(8350/2783.333)</f>
        <v>0.34792563828979362</v>
      </c>
      <c r="AK335" s="2">
        <f>0.255109026922528*(8350/2783.333)</f>
        <v>0.76532717242353321</v>
      </c>
      <c r="AL335" s="2">
        <f>0.275934253524136*(8350/2783.333)</f>
        <v>0.82780285971047529</v>
      </c>
      <c r="AM335" s="2">
        <f>0.28884981625946*(8350/2783.333)</f>
        <v>0.86654955255677069</v>
      </c>
      <c r="AN335" s="2">
        <f>0.295648347902032*(8350/2783.333)</f>
        <v>0.88694514992707085</v>
      </c>
      <c r="AO335" s="2">
        <f>0.130584786282964*(8350/2783.333)</f>
        <v>0.39175440576558879</v>
      </c>
      <c r="AP335" s="2">
        <f>0.153425254188202*(8350/2783.333)</f>
        <v>0.46027581768745779</v>
      </c>
      <c r="AQ335" s="2">
        <f>0.268321001013002*(8350/2783.333)</f>
        <v>0.80496309944177358</v>
      </c>
      <c r="AR335" s="2">
        <f>0.1492928321176*(8350/2783.333)</f>
        <v>0.44787854999095084</v>
      </c>
      <c r="AS335" s="2">
        <f>0.165606798435313*(8350/2783.333)</f>
        <v>0.49682045480539411</v>
      </c>
      <c r="AT335" s="2">
        <f>0.130832323641108*(8350/2783.333)</f>
        <v>0.3924970179289558</v>
      </c>
      <c r="AU335" s="2">
        <f>0.113118758819244*(8350/2783.333)</f>
        <v>0.33935631709920677</v>
      </c>
      <c r="AV335" s="2">
        <f>0.0988233473747553*(8350/2783.333)</f>
        <v>0.29647007762966454</v>
      </c>
      <c r="AW335" s="2">
        <f>0.101498123558715*(8350/2783.333)</f>
        <v>0.30449440714254017</v>
      </c>
    </row>
    <row r="336" spans="1:49" x14ac:dyDescent="0.25">
      <c r="A336" s="5">
        <v>45958</v>
      </c>
      <c r="B336" s="2">
        <f>0.30305698000725*(8350/2783.333)</f>
        <v>0.90917104890451117</v>
      </c>
      <c r="C336" s="2">
        <f>0.235482881991828*(8350/2783.333)</f>
        <v>0.70644873058012325</v>
      </c>
      <c r="D336" s="2">
        <f>0.193258989600038*(8350/2783.333)</f>
        <v>0.57977703823449012</v>
      </c>
      <c r="E336" s="2">
        <f>0.211721949590063*(8350/2783.333)</f>
        <v>0.63516592483796586</v>
      </c>
      <c r="F336" s="2">
        <f>0.17068196712098*(8350/2783.333)</f>
        <v>0.51204596268581037</v>
      </c>
      <c r="G336" s="2">
        <f>0.198522629740173*(8350/2783.333)</f>
        <v>0.59556796054602201</v>
      </c>
      <c r="H336" s="2">
        <f>0.234451397651995*(8350/2783.333)</f>
        <v>0.70335427719003163</v>
      </c>
      <c r="I336" s="2">
        <f>0.222741854793378*(8350/2783.333)</f>
        <v>0.66822564440715726</v>
      </c>
      <c r="J336" s="2">
        <f>0.188945506707967*(8350/2783.333)</f>
        <v>0.56683658800852199</v>
      </c>
      <c r="K336" s="2">
        <f>0.239367483795858*(8350/2783.333)</f>
        <v>0.7181025373878781</v>
      </c>
      <c r="L336" s="2">
        <f>0.254208884729799*(8350/2783.333)</f>
        <v>0.76262674552194043</v>
      </c>
      <c r="M336" s="2">
        <f>0.249793354246046*(8350/2783.333)</f>
        <v>0.74938015248426282</v>
      </c>
      <c r="N336" s="2">
        <f>0.197392107615853*(8350/2783.333)</f>
        <v>0.59217639376688902</v>
      </c>
      <c r="O336" s="2">
        <f>0.376711941747823*(8350/2783.333)</f>
        <v>1.1301359605890924</v>
      </c>
      <c r="P336" s="2">
        <f>0.427188342158584*(8350/2783.333)</f>
        <v>1.2815651799566121</v>
      </c>
      <c r="Q336" s="2">
        <f>0.522127888017761*(8350/2783.333)</f>
        <v>1.5663838516441635</v>
      </c>
      <c r="R336" s="2">
        <f>0.712729868726925*(8350/2783.333)</f>
        <v>2.1381898622514157</v>
      </c>
      <c r="S336" s="2">
        <f>0.19922756592673*(8350/2783.333)</f>
        <v>0.59768276935896536</v>
      </c>
      <c r="T336" s="2">
        <f t="shared" si="85"/>
        <v>0.10069243236843764</v>
      </c>
      <c r="U336" s="2">
        <f t="shared" si="86"/>
        <v>0.11437794326585224</v>
      </c>
      <c r="V336" s="2">
        <f t="shared" si="87"/>
        <v>0.11043877033537902</v>
      </c>
      <c r="W336" s="2">
        <f t="shared" si="88"/>
        <v>0.10705744606724045</v>
      </c>
      <c r="X336" s="2">
        <f t="shared" si="89"/>
        <v>0.11728533803050227</v>
      </c>
      <c r="Y336" s="2">
        <f t="shared" si="90"/>
        <v>0.10928020503416074</v>
      </c>
      <c r="Z336" s="2">
        <f t="shared" si="91"/>
        <v>0.10579568013572224</v>
      </c>
      <c r="AA336" s="2">
        <f t="shared" si="92"/>
        <v>0.11798772791544039</v>
      </c>
      <c r="AB336" s="2">
        <f t="shared" si="93"/>
        <v>0.10026757173055721</v>
      </c>
      <c r="AC336" s="2">
        <f t="shared" si="94"/>
        <v>0.1151901624778385</v>
      </c>
      <c r="AD336" s="2">
        <f t="shared" si="95"/>
        <v>0.10227444344259566</v>
      </c>
      <c r="AE336" s="2">
        <f t="shared" si="96"/>
        <v>0.10987695088187602</v>
      </c>
      <c r="AF336" s="2">
        <f t="shared" si="97"/>
        <v>0.11908712371493149</v>
      </c>
      <c r="AG336" s="2">
        <f t="shared" si="98"/>
        <v>9.9235315312320327E-2</v>
      </c>
      <c r="AH336" s="2">
        <f t="shared" si="99"/>
        <v>0.1199891551819615</v>
      </c>
      <c r="AI336" s="2">
        <f t="shared" si="100"/>
        <v>0.10099811712417744</v>
      </c>
      <c r="AJ336" s="2">
        <f>0.189198755810162*(8350/2783.333)</f>
        <v>0.567596335406095</v>
      </c>
      <c r="AK336" s="2">
        <f>0.433175727265632*(8350/2783.333)</f>
        <v>1.2995273374289127</v>
      </c>
      <c r="AL336" s="2">
        <f>0.256963773594352*(8350/2783.333)</f>
        <v>0.77089141310538001</v>
      </c>
      <c r="AM336" s="2">
        <f>0.301738995703533*(8350/2783.333)</f>
        <v>0.90521709551983054</v>
      </c>
      <c r="AN336" s="2">
        <f>0.311486652253926*(8350/2783.333)</f>
        <v>0.93446006867316367</v>
      </c>
      <c r="AO336" s="2">
        <f>0.142971686010377*(8350/2783.333)</f>
        <v>0.42891510939821026</v>
      </c>
      <c r="AP336" s="2">
        <f>0.162254286188174*(8350/2783.333)</f>
        <v>0.48676291685948303</v>
      </c>
      <c r="AQ336" s="2">
        <f>0.287631982146514*(8350/2783.333)</f>
        <v>0.86289604978038625</v>
      </c>
      <c r="AR336" s="2">
        <f>0.219039045809302*(8350/2783.333)</f>
        <v>0.65711721612457974</v>
      </c>
      <c r="AS336" s="2">
        <f>0.113030659514587*(8350/2783.333)</f>
        <v>0.33909201915358456</v>
      </c>
      <c r="AT336" s="2">
        <f>0.111650140851622*(8350/2783.333)</f>
        <v>0.3349504626686951</v>
      </c>
      <c r="AU336" s="2">
        <f>0.123070555782814*(8350/2783.333)</f>
        <v>0.36921171156541255</v>
      </c>
      <c r="AV336" s="2">
        <f>0.096499914442747*(8350/2783.333)</f>
        <v>0.28949977799887311</v>
      </c>
      <c r="AW336" s="2">
        <f>0.0954362141884393*(8350/2783.333)</f>
        <v>0.28630867685378208</v>
      </c>
    </row>
    <row r="337" spans="1:49" x14ac:dyDescent="0.25">
      <c r="A337" s="5">
        <v>45959</v>
      </c>
      <c r="B337" s="2">
        <f>0.264766267587228*(8350/2783.333)</f>
        <v>0.79429889788730013</v>
      </c>
      <c r="C337" s="2">
        <f>0.237405191232578*(8350/2783.333)</f>
        <v>0.71221565899302219</v>
      </c>
      <c r="D337" s="2">
        <f>0.165482900001652*(8350/2783.333)</f>
        <v>0.49644875945989725</v>
      </c>
      <c r="E337" s="2">
        <f>0.209405516881201*(8350/2783.333)</f>
        <v>0.62821662587912641</v>
      </c>
      <c r="F337" s="2">
        <f>0.18864848997582*(8350/2783.333)</f>
        <v>0.56594553770536959</v>
      </c>
      <c r="G337" s="2">
        <f>0.222686482047449*(8350/2783.333)</f>
        <v>0.66805952614947595</v>
      </c>
      <c r="H337" s="2">
        <f>0.229676420103075*(8350/2783.333)</f>
        <v>0.68902934282770922</v>
      </c>
      <c r="I337" s="2">
        <f>0.199442497597418*(8350/2783.333)</f>
        <v>0.5983275644482503</v>
      </c>
      <c r="J337" s="2">
        <f>0.187361058014399*(8350/2783.333)</f>
        <v>0.5620832413585547</v>
      </c>
      <c r="K337" s="2">
        <f>0.246176624472764*(8350/2783.333)</f>
        <v>0.73852996186499431</v>
      </c>
      <c r="L337" s="2">
        <f>0.23507040895636*(8350/2783.333)</f>
        <v>0.70521131132552561</v>
      </c>
      <c r="M337" s="2">
        <f>0.389007992591284*(8350/2783.333)</f>
        <v>1.1670241175372205</v>
      </c>
      <c r="N337" s="2">
        <f>0.19975608495257*(8350/2783.333)</f>
        <v>0.5992683266263733</v>
      </c>
      <c r="O337" s="2">
        <f>0.59492693492378*(8350/2783.333)</f>
        <v>1.7847810185175699</v>
      </c>
      <c r="P337" s="2">
        <f>0.410376691962636*(8350/2783.333)</f>
        <v>1.231130223328653</v>
      </c>
      <c r="Q337" s="2">
        <f>0.906530985338877*(8350/2783.333)</f>
        <v>2.7195932817164246</v>
      </c>
      <c r="R337" s="2">
        <f>0.779722754560265*(8350/2783.333)</f>
        <v>2.3391685438207404</v>
      </c>
      <c r="S337" s="2">
        <f>0.163018379544069*(8350/2783.333)</f>
        <v>0.48905519720169022</v>
      </c>
      <c r="T337" s="2">
        <f t="shared" si="85"/>
        <v>0.10069243236843764</v>
      </c>
      <c r="U337" s="2">
        <f t="shared" si="86"/>
        <v>0.11437794326585224</v>
      </c>
      <c r="V337" s="2">
        <f t="shared" si="87"/>
        <v>0.11043877033537902</v>
      </c>
      <c r="W337" s="2">
        <f t="shared" si="88"/>
        <v>0.10705744606724045</v>
      </c>
      <c r="X337" s="2">
        <f t="shared" si="89"/>
        <v>0.11728533803050227</v>
      </c>
      <c r="Y337" s="2">
        <f t="shared" si="90"/>
        <v>0.10928020503416074</v>
      </c>
      <c r="Z337" s="2">
        <f t="shared" si="91"/>
        <v>0.10579568013572224</v>
      </c>
      <c r="AA337" s="2">
        <f t="shared" si="92"/>
        <v>0.11798772791544039</v>
      </c>
      <c r="AB337" s="2">
        <f t="shared" si="93"/>
        <v>0.10026757173055721</v>
      </c>
      <c r="AC337" s="2">
        <f t="shared" si="94"/>
        <v>0.1151901624778385</v>
      </c>
      <c r="AD337" s="2">
        <f t="shared" si="95"/>
        <v>0.10227444344259566</v>
      </c>
      <c r="AE337" s="2">
        <f t="shared" si="96"/>
        <v>0.10987695088187602</v>
      </c>
      <c r="AF337" s="2">
        <f t="shared" si="97"/>
        <v>0.11908712371493149</v>
      </c>
      <c r="AG337" s="2">
        <f t="shared" si="98"/>
        <v>9.9235315312320327E-2</v>
      </c>
      <c r="AH337" s="2">
        <f t="shared" si="99"/>
        <v>0.1199891551819615</v>
      </c>
      <c r="AI337" s="2">
        <f t="shared" si="100"/>
        <v>0.10099811712417744</v>
      </c>
      <c r="AJ337" s="2">
        <f>0.151449965588423*(8350/2783.333)</f>
        <v>0.45434995117843618</v>
      </c>
      <c r="AK337" s="2">
        <f>0.425981113110355*(8350/2783.333)</f>
        <v>1.2779434923781907</v>
      </c>
      <c r="AL337" s="2">
        <f>0.352391036271449*(8350/2783.333)</f>
        <v>1.0571732354219192</v>
      </c>
      <c r="AM337" s="2">
        <f>0.274638669692919*(8350/2783.333)</f>
        <v>0.82391610775134594</v>
      </c>
      <c r="AN337" s="2">
        <f>0.281673373473889*(8350/2783.333)</f>
        <v>0.84502022162169466</v>
      </c>
      <c r="AO337" s="2">
        <f>0.130734026038716*(8350/2783.333)</f>
        <v>0.39220212508646357</v>
      </c>
      <c r="AP337" s="2">
        <f>0.169750634112679*(8350/2783.333)</f>
        <v>0.50925196332629674</v>
      </c>
      <c r="AQ337" s="2">
        <f>0.154318454496746*(8350/2783.333)</f>
        <v>0.46295541893399955</v>
      </c>
      <c r="AR337" s="2">
        <f>0.178367366162385*(8350/2783.333)</f>
        <v>0.5351021625712461</v>
      </c>
      <c r="AS337" s="2">
        <f>0.212394738575775*(8350/2783.333)</f>
        <v>0.63718429203682136</v>
      </c>
      <c r="AT337" s="2">
        <f>0.725316039834916*(8350/2783.333)</f>
        <v>2.1759483800973674</v>
      </c>
      <c r="AU337" s="2">
        <f>0.377007241636571*(8350/2783.333)</f>
        <v>1.1310218603614328</v>
      </c>
      <c r="AV337" s="2">
        <f>0.182157141869455*(8350/2783.333)</f>
        <v>0.54647149105405257</v>
      </c>
      <c r="AW337" s="2">
        <f>0.195069134863992*(8350/2783.333)</f>
        <v>0.58520747467670475</v>
      </c>
    </row>
    <row r="338" spans="1:49" x14ac:dyDescent="0.25">
      <c r="A338" s="5">
        <v>45960</v>
      </c>
      <c r="B338" s="2">
        <f>0.383841044015346*(8350/2783.333)</f>
        <v>1.1515232699530173</v>
      </c>
      <c r="C338" s="2">
        <f>0.363316446501678*(8350/2783.333)</f>
        <v>1.0899494700379042</v>
      </c>
      <c r="D338" s="2">
        <f>0.245290256030818*(8350/2783.333)</f>
        <v>0.73587085622069937</v>
      </c>
      <c r="E338" s="2">
        <f>0.294650240567353*(8350/2783.333)</f>
        <v>0.88395082756443388</v>
      </c>
      <c r="F338" s="2">
        <f>0.245672671210747*(8350/2783.333)</f>
        <v>0.73701810189788286</v>
      </c>
      <c r="G338" s="2">
        <f>0.237374313842068*(8350/2783.333)</f>
        <v>0.71212302681039852</v>
      </c>
      <c r="H338" s="2">
        <f>0.241613863975376*(8350/2783.333)</f>
        <v>0.72484167873351524</v>
      </c>
      <c r="I338" s="2">
        <f>0.229265674808247*(8350/2783.333)</f>
        <v>0.68779710679565165</v>
      </c>
      <c r="J338" s="2">
        <f>0.192510516268494*(8350/2783.333)</f>
        <v>0.57753161797094676</v>
      </c>
      <c r="K338" s="2">
        <f>0.225749202442045*(8350/2783.333)</f>
        <v>0.67724768843364402</v>
      </c>
      <c r="L338" s="2">
        <f>0.245471754485403*(8350/2783.333)</f>
        <v>0.73641535164966454</v>
      </c>
      <c r="M338" s="2">
        <f>0.266534355059714*(8350/2783.333)</f>
        <v>0.7996031609399985</v>
      </c>
      <c r="N338" s="2">
        <f>0.209605990522224*(8350/2783.333)</f>
        <v>0.62881804687422216</v>
      </c>
      <c r="O338" s="2">
        <f>0.712860683387206*(8350/2783.333)</f>
        <v>2.1385823062792593</v>
      </c>
      <c r="P338" s="2">
        <f>0.670310668069221*(8350/2783.333)</f>
        <v>2.0109322450378726</v>
      </c>
      <c r="Q338" s="2">
        <f>0.970676778266081*(8350/2783.333)</f>
        <v>2.9120306835444341</v>
      </c>
      <c r="R338" s="2">
        <f>0.655785915768585*(8350/2783.333)</f>
        <v>1.967357982917491</v>
      </c>
      <c r="S338" s="2">
        <f>0.190907157140927*(8350/2783.333)</f>
        <v>0.57272154001218789</v>
      </c>
      <c r="T338" s="2">
        <f t="shared" si="85"/>
        <v>0.10069243236843764</v>
      </c>
      <c r="U338" s="2">
        <f t="shared" si="86"/>
        <v>0.11437794326585224</v>
      </c>
      <c r="V338" s="2">
        <f t="shared" si="87"/>
        <v>0.11043877033537902</v>
      </c>
      <c r="W338" s="2">
        <f t="shared" si="88"/>
        <v>0.10705744606724045</v>
      </c>
      <c r="X338" s="2">
        <f t="shared" si="89"/>
        <v>0.11728533803050227</v>
      </c>
      <c r="Y338" s="2">
        <f t="shared" si="90"/>
        <v>0.10928020503416074</v>
      </c>
      <c r="Z338" s="2">
        <f t="shared" si="91"/>
        <v>0.10579568013572224</v>
      </c>
      <c r="AA338" s="2">
        <f t="shared" si="92"/>
        <v>0.11798772791544039</v>
      </c>
      <c r="AB338" s="2">
        <f t="shared" si="93"/>
        <v>0.10026757173055721</v>
      </c>
      <c r="AC338" s="2">
        <f t="shared" si="94"/>
        <v>0.1151901624778385</v>
      </c>
      <c r="AD338" s="2">
        <f t="shared" si="95"/>
        <v>0.10227444344259566</v>
      </c>
      <c r="AE338" s="2">
        <f t="shared" si="96"/>
        <v>0.10987695088187602</v>
      </c>
      <c r="AF338" s="2">
        <f t="shared" si="97"/>
        <v>0.11908712371493149</v>
      </c>
      <c r="AG338" s="2">
        <f t="shared" si="98"/>
        <v>9.9235315312320327E-2</v>
      </c>
      <c r="AH338" s="2">
        <f t="shared" si="99"/>
        <v>0.1199891551819615</v>
      </c>
      <c r="AI338" s="2">
        <f t="shared" si="100"/>
        <v>0.10099811712417744</v>
      </c>
      <c r="AJ338" s="2">
        <f>0.25165860147826*(8350/2783.333)</f>
        <v>0.75497589485105543</v>
      </c>
      <c r="AK338" s="2">
        <f>0.641219986589057*(8350/2783.333)</f>
        <v>1.9236601901456365</v>
      </c>
      <c r="AL338" s="2">
        <f>0.301228226763849*(8350/2783.333)</f>
        <v>0.90368478851726897</v>
      </c>
      <c r="AM338" s="2">
        <f>0.484500950384862*(8350/2783.333)</f>
        <v>1.4535030252268031</v>
      </c>
      <c r="AN338" s="2">
        <f>0.35900156530961*(8350/2783.333)</f>
        <v>1.0770048249114428</v>
      </c>
      <c r="AO338" s="2">
        <f>0.1904299283395*(8350/2783.333)</f>
        <v>0.57128985343644734</v>
      </c>
      <c r="AP338" s="2">
        <f>0.135100848150523*(8350/2783.333)</f>
        <v>0.4053025929908014</v>
      </c>
      <c r="AQ338" s="2">
        <f>0.147203882500189*(8350/2783.333)</f>
        <v>0.44161170038819492</v>
      </c>
      <c r="AR338" s="2">
        <f>0.116461476258041*(8350/2783.333)</f>
        <v>0.34938447061657363</v>
      </c>
      <c r="AS338" s="2">
        <f>0.0964699796710561*(8350/2783.333)</f>
        <v>0.28940997367304527</v>
      </c>
      <c r="AT338" s="2">
        <f>0.106403731883558*(8350/2783.333)</f>
        <v>0.31921123387956396</v>
      </c>
      <c r="AU338" s="2">
        <f>0.121577786238278*(8350/2783.333)</f>
        <v>0.36473340239548185</v>
      </c>
      <c r="AV338" s="2">
        <f>0.113693318139609*(8350/2783.333)</f>
        <v>0.34107999526673</v>
      </c>
      <c r="AW338" s="2">
        <f>0.139423915516336*(8350/2783.333)</f>
        <v>0.41827179664143727</v>
      </c>
    </row>
    <row r="339" spans="1:49" x14ac:dyDescent="0.25">
      <c r="A339" s="5">
        <v>45961</v>
      </c>
      <c r="B339" s="2">
        <f>0.321268416402139*(8350/2783.333)</f>
        <v>0.96380536463220878</v>
      </c>
      <c r="C339" s="2">
        <f>0.309491787760688*(8350/2783.333)</f>
        <v>0.92847547447673306</v>
      </c>
      <c r="D339" s="2">
        <f>0.284802721515846*(8350/2783.333)</f>
        <v>0.85440826687188021</v>
      </c>
      <c r="E339" s="2">
        <f>0.350244625580061*(8350/2783.333)</f>
        <v>1.0507340025765914</v>
      </c>
      <c r="F339" s="2">
        <f>0.28707378909364*(8350/2783.333)</f>
        <v>0.86122147042121489</v>
      </c>
      <c r="G339" s="2">
        <f>0.31697288614839*(8350/2783.333)</f>
        <v>0.95091877232765798</v>
      </c>
      <c r="H339" s="2">
        <f>0.341410894747814*(8350/2783.333)</f>
        <v>1.0242328069060542</v>
      </c>
      <c r="I339" s="2">
        <f>0.308017502130592*(8350/2783.333)</f>
        <v>0.92405261705676001</v>
      </c>
      <c r="J339" s="2">
        <f>0.225387826660027*(8350/2783.333)</f>
        <v>0.67616356095775443</v>
      </c>
      <c r="K339" s="2">
        <f>0.299078409731805*(8350/2783.333)</f>
        <v>0.89723533664874899</v>
      </c>
      <c r="L339" s="2">
        <f>0.248384131233535*(8350/2783.333)</f>
        <v>0.74515248294042358</v>
      </c>
      <c r="M339" s="2">
        <f>0.373148097083599*(8350/2783.333)</f>
        <v>1.1194444253159976</v>
      </c>
      <c r="N339" s="2">
        <f>0.203696047180432*(8350/2783.333)</f>
        <v>0.61108821472551311</v>
      </c>
      <c r="O339" s="2">
        <f>0.235116326554474*(8350/2783.333)</f>
        <v>0.70534906413636256</v>
      </c>
      <c r="P339" s="2">
        <f>0.705227172322345*(8350/2783.333)</f>
        <v>2.1156817703420963</v>
      </c>
      <c r="Q339" s="2">
        <f>0.372611591268321*(8350/2783.333)</f>
        <v>1.1178349076774063</v>
      </c>
      <c r="R339" s="2">
        <f>0.541525827152833*(8350/2783.333)</f>
        <v>1.6245776760186998</v>
      </c>
      <c r="S339" s="2">
        <f>0.249612263574094*(8350/2783.333)</f>
        <v>0.74883688040334462</v>
      </c>
      <c r="T339" s="2">
        <f t="shared" si="85"/>
        <v>0.10069243236843764</v>
      </c>
      <c r="U339" s="2">
        <f t="shared" si="86"/>
        <v>0.11437794326585224</v>
      </c>
      <c r="V339" s="2">
        <f t="shared" si="87"/>
        <v>0.11043877033537902</v>
      </c>
      <c r="W339" s="2">
        <f t="shared" si="88"/>
        <v>0.10705744606724045</v>
      </c>
      <c r="X339" s="2">
        <f t="shared" si="89"/>
        <v>0.11728533803050227</v>
      </c>
      <c r="Y339" s="2">
        <f t="shared" si="90"/>
        <v>0.10928020503416074</v>
      </c>
      <c r="Z339" s="2">
        <f t="shared" si="91"/>
        <v>0.10579568013572224</v>
      </c>
      <c r="AA339" s="2">
        <f t="shared" si="92"/>
        <v>0.11798772791544039</v>
      </c>
      <c r="AB339" s="2">
        <f t="shared" si="93"/>
        <v>0.10026757173055721</v>
      </c>
      <c r="AC339" s="2">
        <f t="shared" si="94"/>
        <v>0.1151901624778385</v>
      </c>
      <c r="AD339" s="2">
        <f t="shared" si="95"/>
        <v>0.10227444344259566</v>
      </c>
      <c r="AE339" s="2">
        <f t="shared" si="96"/>
        <v>0.10987695088187602</v>
      </c>
      <c r="AF339" s="2">
        <f t="shared" si="97"/>
        <v>0.11908712371493149</v>
      </c>
      <c r="AG339" s="2">
        <f t="shared" si="98"/>
        <v>9.9235315312320327E-2</v>
      </c>
      <c r="AH339" s="2">
        <f t="shared" si="99"/>
        <v>0.1199891551819615</v>
      </c>
      <c r="AI339" s="2">
        <f t="shared" si="100"/>
        <v>0.10099811712417744</v>
      </c>
      <c r="AJ339" s="2">
        <f>0.118400823948507*(8350/2783.333)</f>
        <v>0.35520251438474337</v>
      </c>
      <c r="AK339" s="2">
        <f>0.334549558220378*(8350/2783.333)</f>
        <v>1.0036487948585933</v>
      </c>
      <c r="AL339" s="2">
        <f>0.370786653173058*(8350/2783.333)</f>
        <v>1.1123600927359516</v>
      </c>
      <c r="AM339" s="2">
        <f>0.437240625756597*(8350/2783.333)</f>
        <v>1.3117220343622511</v>
      </c>
      <c r="AN339" s="2">
        <f>0.436640312132622*(8350/2783.333)</f>
        <v>1.3099210932746448</v>
      </c>
      <c r="AO339" s="2">
        <f>0.130734026038716*(8350/2783.333)</f>
        <v>0.39220212508646357</v>
      </c>
      <c r="AP339" s="2">
        <f>0.147761346867465*(8350/2783.333)</f>
        <v>0.44328409369030919</v>
      </c>
      <c r="AQ339" s="2">
        <f>0.160416659065223*(8350/2783.333)</f>
        <v>0.48125003483040341</v>
      </c>
      <c r="AR339" s="2">
        <f>0.274738012715322*(8350/2783.333)</f>
        <v>0.82421413685424505</v>
      </c>
      <c r="AS339" s="2">
        <f>0.168340114525993*(8350/2783.333)</f>
        <v>0.50502040405946391</v>
      </c>
      <c r="AT339" s="2">
        <f>0.19116602677385*(8350/2783.333)</f>
        <v>0.57349814900396268</v>
      </c>
      <c r="AU339" s="2">
        <f>0.109635629881994*(8350/2783.333)</f>
        <v>0.32890692903603458</v>
      </c>
      <c r="AV339" s="2">
        <f>0.104399586411575*(8350/2783.333)</f>
        <v>0.31319879674356416</v>
      </c>
      <c r="AW339" s="2">
        <f>0.0977677177923914*(8350/2783.333)</f>
        <v>0.29330318850330439</v>
      </c>
    </row>
    <row r="340" spans="1:49" x14ac:dyDescent="0.25">
      <c r="A340" s="5">
        <v>45962</v>
      </c>
      <c r="B340" s="2">
        <f>0.28811426296529*(8350/2783.333)</f>
        <v>0.86434289240999007</v>
      </c>
      <c r="C340" s="2">
        <f>0.336884694441371*(8350/2783.333)</f>
        <v>1.0106542043605433</v>
      </c>
      <c r="D340" s="2">
        <f>0.293800609695605*(8350/2783.333)</f>
        <v>0.88140193464393146</v>
      </c>
      <c r="E340" s="2">
        <f>0.351171198663606*(8350/2783.333)</f>
        <v>1.0535137221601272</v>
      </c>
      <c r="F340" s="2">
        <f>0.262858040897986*(8350/2783.333)</f>
        <v>0.78857421713398279</v>
      </c>
      <c r="G340" s="2">
        <f>0.273856992815799*(8350/2783.333)</f>
        <v>0.8215710768391421</v>
      </c>
      <c r="H340" s="2">
        <f>0.281246177631416*(8350/2783.333)</f>
        <v>0.84373863394079152</v>
      </c>
      <c r="I340" s="2">
        <f>0.277262350631925*(8350/2783.333)</f>
        <v>0.83178715151100191</v>
      </c>
      <c r="J340" s="2">
        <f>0.229745060567339*(8350/2783.333)</f>
        <v>0.68923526424516268</v>
      </c>
      <c r="K340" s="2">
        <f>0.279698547805226*(8350/2783.333)</f>
        <v>0.83909574390618591</v>
      </c>
      <c r="L340" s="2">
        <f>0.223420901963833*(8350/2783.333)</f>
        <v>0.67026278616249135</v>
      </c>
      <c r="M340" s="2">
        <f>0.240101195880238*(8350/2783.333)</f>
        <v>0.72030367390462635</v>
      </c>
      <c r="N340" s="2">
        <f>0.2273358205476*(8350/2783.333)</f>
        <v>0.68200754332035007</v>
      </c>
      <c r="O340" s="2">
        <f>0.179905304184653*(8350/2783.333)</f>
        <v>0.53971597719060327</v>
      </c>
      <c r="P340" s="2">
        <f>0.198291258721442*(8350/2783.333)</f>
        <v>0.59487384740670202</v>
      </c>
      <c r="Q340" s="2">
        <f>0.19668232096062*(8350/2783.333)</f>
        <v>0.59004703354617538</v>
      </c>
      <c r="R340" s="2">
        <f>0.618567645861174*(8350/2783.333)</f>
        <v>1.8557031598234222</v>
      </c>
      <c r="S340" s="2">
        <f>0.107240824350351*(8350/2783.333)</f>
        <v>0.32172251158069604</v>
      </c>
      <c r="T340" s="2">
        <f t="shared" si="85"/>
        <v>0.10069243236843764</v>
      </c>
      <c r="U340" s="2">
        <f t="shared" si="86"/>
        <v>0.11437794326585224</v>
      </c>
      <c r="V340" s="2">
        <f t="shared" si="87"/>
        <v>0.11043877033537902</v>
      </c>
      <c r="W340" s="2">
        <f t="shared" si="88"/>
        <v>0.10705744606724045</v>
      </c>
      <c r="X340" s="2">
        <f t="shared" si="89"/>
        <v>0.11728533803050227</v>
      </c>
      <c r="Y340" s="2">
        <f t="shared" si="90"/>
        <v>0.10928020503416074</v>
      </c>
      <c r="Z340" s="2">
        <f t="shared" si="91"/>
        <v>0.10579568013572224</v>
      </c>
      <c r="AA340" s="2">
        <f t="shared" si="92"/>
        <v>0.11798772791544039</v>
      </c>
      <c r="AB340" s="2">
        <f t="shared" si="93"/>
        <v>0.10026757173055721</v>
      </c>
      <c r="AC340" s="2">
        <f t="shared" si="94"/>
        <v>0.1151901624778385</v>
      </c>
      <c r="AD340" s="2">
        <f t="shared" si="95"/>
        <v>0.10227444344259566</v>
      </c>
      <c r="AE340" s="2">
        <f t="shared" si="96"/>
        <v>0.10987695088187602</v>
      </c>
      <c r="AF340" s="2">
        <f t="shared" si="97"/>
        <v>0.11908712371493149</v>
      </c>
      <c r="AG340" s="2">
        <f t="shared" si="98"/>
        <v>9.9235315312320327E-2</v>
      </c>
      <c r="AH340" s="2">
        <f t="shared" si="99"/>
        <v>0.1199891551819615</v>
      </c>
      <c r="AI340" s="2">
        <f t="shared" si="100"/>
        <v>0.10099811712417744</v>
      </c>
      <c r="AJ340" s="2">
        <f>0.207694147003143*(8350/2783.333)</f>
        <v>0.62308251563008832</v>
      </c>
      <c r="AK340" s="2">
        <f>0.450262935884415*(8350/2783.333)</f>
        <v>1.3507889694243789</v>
      </c>
      <c r="AL340" s="2">
        <f>0.396655489440946*(8350/2783.333)</f>
        <v>1.1899666108338085</v>
      </c>
      <c r="AM340" s="2">
        <f>0.332805223081552*(8350/2783.333)</f>
        <v>0.99841578881540938</v>
      </c>
      <c r="AN340" s="2">
        <f>0.249065099808224*(8350/2783.333)</f>
        <v>0.74719538890915027</v>
      </c>
      <c r="AO340" s="2">
        <f>0.119242564845816*(8350/2783.333)</f>
        <v>0.35772773737909197</v>
      </c>
      <c r="AP340" s="2">
        <f>0.158922575999505*(8350/2783.333)</f>
        <v>0.47676778509645423</v>
      </c>
      <c r="AQ340" s="2">
        <f>0.133991105935155*(8350/2783.333)</f>
        <v>0.40197336594598637</v>
      </c>
      <c r="AR340" s="2">
        <f>0.155173074958119*(8350/2783.333)</f>
        <v>0.46551928062516812</v>
      </c>
      <c r="AS340" s="2">
        <f>0.250018030647487*(8350/2783.333)</f>
        <v>0.75005418176930849</v>
      </c>
      <c r="AT340" s="2">
        <f>0.16919668922008*(8350/2783.333)</f>
        <v>0.50759012844947637</v>
      </c>
      <c r="AU340" s="2">
        <f>0.183278927412411*(8350/2783.333)</f>
        <v>0.54983684808595823</v>
      </c>
      <c r="AV340" s="2">
        <f>0.167751857691003*(8350/2783.333)</f>
        <v>0.50325563334314505</v>
      </c>
      <c r="AW340" s="2">
        <f>0.0963688156300201*(8350/2783.333)</f>
        <v>0.28910648151359103</v>
      </c>
    </row>
    <row r="341" spans="1:49" x14ac:dyDescent="0.25">
      <c r="A341" s="5">
        <v>45963</v>
      </c>
      <c r="B341" s="2">
        <f>0.315664897511404*(8350/2783.333)</f>
        <v>0.94699480594676355</v>
      </c>
      <c r="C341" s="2">
        <f>0.310933519691251*(8350/2783.333)</f>
        <v>0.9328006707864076</v>
      </c>
      <c r="D341" s="2">
        <f>0.278152108513415*(8350/2783.333)</f>
        <v>0.8344564254751462</v>
      </c>
      <c r="E341" s="2">
        <f>0.32291071961548*(8350/2783.333)</f>
        <v>0.96873227486228031</v>
      </c>
      <c r="F341" s="2">
        <f>0.2694978428226*(8350/2783.333)</f>
        <v>0.80849362529338531</v>
      </c>
      <c r="G341" s="2">
        <f>0.301811253328138*(8350/2783.333)</f>
        <v>0.90543386841960838</v>
      </c>
      <c r="H341" s="2">
        <f>0.328995953120621*(8350/2783.333)</f>
        <v>0.98698797756401624</v>
      </c>
      <c r="I341" s="2">
        <f>0.323395077879926*(8350/2783.333)</f>
        <v>0.97018534982963944</v>
      </c>
      <c r="J341" s="2">
        <f>0.276882409200983*(8350/2783.333)</f>
        <v>0.83064732708167011</v>
      </c>
      <c r="K341" s="2">
        <f>0.355646655355334*(8350/2783.333)</f>
        <v>1.0669400938432578</v>
      </c>
      <c r="L341" s="2">
        <f>0.290821620992029*(8350/2783.333)</f>
        <v>0.87246496746290803</v>
      </c>
      <c r="M341" s="2">
        <f>0.372707544430608*(8350/2783.333)</f>
        <v>1.1181227671987413</v>
      </c>
      <c r="N341" s="2">
        <f>0.271857393722433*(8350/2783.333)</f>
        <v>0.81557227884062644</v>
      </c>
      <c r="O341" s="2">
        <f>0.283191230386698*(8350/2783.333)</f>
        <v>0.84957379290545898</v>
      </c>
      <c r="P341" s="2">
        <f>0.943607750741817*(8350/2783.333)</f>
        <v>2.8308235912462405</v>
      </c>
      <c r="Q341" s="2">
        <f>1.19896033544819*(8350/2783.333)</f>
        <v>3.5968814371088196</v>
      </c>
      <c r="R341" s="2">
        <f>0.413494978671338*(8350/2783.333)</f>
        <v>1.2404850845751034</v>
      </c>
      <c r="S341" s="2">
        <f>0.0158704093506985*(8350/2783.333)</f>
        <v>4.7611233754039757E-2</v>
      </c>
      <c r="T341" s="2">
        <f t="shared" si="85"/>
        <v>0.10069243236843764</v>
      </c>
      <c r="U341" s="2">
        <f t="shared" si="86"/>
        <v>0.11437794326585224</v>
      </c>
      <c r="V341" s="2">
        <f t="shared" si="87"/>
        <v>0.11043877033537902</v>
      </c>
      <c r="W341" s="2">
        <f t="shared" si="88"/>
        <v>0.10705744606724045</v>
      </c>
      <c r="X341" s="2">
        <f t="shared" si="89"/>
        <v>0.11728533803050227</v>
      </c>
      <c r="Y341" s="2">
        <f t="shared" si="90"/>
        <v>0.10928020503416074</v>
      </c>
      <c r="Z341" s="2">
        <f t="shared" si="91"/>
        <v>0.10579568013572224</v>
      </c>
      <c r="AA341" s="2">
        <f t="shared" si="92"/>
        <v>0.11798772791544039</v>
      </c>
      <c r="AB341" s="2">
        <f t="shared" si="93"/>
        <v>0.10026757173055721</v>
      </c>
      <c r="AC341" s="2">
        <f t="shared" si="94"/>
        <v>0.1151901624778385</v>
      </c>
      <c r="AD341" s="2">
        <f t="shared" si="95"/>
        <v>0.10227444344259566</v>
      </c>
      <c r="AE341" s="2">
        <f t="shared" si="96"/>
        <v>0.10987695088187602</v>
      </c>
      <c r="AF341" s="2">
        <f t="shared" si="97"/>
        <v>0.11908712371493149</v>
      </c>
      <c r="AG341" s="2">
        <f t="shared" si="98"/>
        <v>9.9235315312320327E-2</v>
      </c>
      <c r="AH341" s="2">
        <f t="shared" si="99"/>
        <v>0.1199891551819615</v>
      </c>
      <c r="AI341" s="2">
        <f t="shared" si="100"/>
        <v>0.10099811712417744</v>
      </c>
      <c r="AJ341" s="2">
        <f>0.0989958233525928*(8350/2783.333)</f>
        <v>0.2969875056251442</v>
      </c>
      <c r="AK341" s="2">
        <f>0.254509475742922*(8350/2783.333)</f>
        <v>0.76352851866930627</v>
      </c>
      <c r="AL341" s="2">
        <f>0.257538636622527*(8350/2783.333)</f>
        <v>0.77261600239644379</v>
      </c>
      <c r="AM341" s="2">
        <f>0.323881945004887*(8350/2783.333)</f>
        <v>0.97164595137944521</v>
      </c>
      <c r="AN341" s="2">
        <f>0.272356723855128*(8350/2783.333)</f>
        <v>0.81707026941811056</v>
      </c>
      <c r="AO341" s="2">
        <f>0.119242564845816*(8350/2783.333)</f>
        <v>0.35772773737909197</v>
      </c>
      <c r="AP341" s="2">
        <f>0.238883620527558*(8350/2783.333)</f>
        <v>0.71665094740913626</v>
      </c>
      <c r="AQ341" s="2">
        <f>0.173798830201604*(8350/2783.333)</f>
        <v>0.52139655304751209</v>
      </c>
      <c r="AR341" s="2">
        <f>0.417170561518984*(8350/2783.333)</f>
        <v>1.2515118344386096</v>
      </c>
      <c r="AS341" s="2">
        <f>0.761952056101891*(8350/2783.333)</f>
        <v>2.2858564420609357</v>
      </c>
      <c r="AT341" s="2">
        <f>0.305275421829252*(8350/2783.333)</f>
        <v>0.91582637516756249</v>
      </c>
      <c r="AU341" s="2">
        <f>0.162546017071641*(8350/2783.333)</f>
        <v>0.48763810961469573</v>
      </c>
      <c r="AV341" s="2">
        <f>0.135688483229288*(8350/2783.333)</f>
        <v>0.40706549843822276</v>
      </c>
      <c r="AW341" s="2">
        <f>0.13678154476519*(8350/2783.333)</f>
        <v>0.41034468343864527</v>
      </c>
    </row>
    <row r="342" spans="1:49" x14ac:dyDescent="0.25">
      <c r="A342" s="5">
        <v>45964</v>
      </c>
      <c r="B342" s="2">
        <f>0.29558562148627*(8350/2783.333)</f>
        <v>0.88675697065725068</v>
      </c>
      <c r="C342" s="2">
        <f>0.290268695353192*(8350/2783.333)</f>
        <v>0.87080619034774365</v>
      </c>
      <c r="D342" s="2">
        <f>0.237857217969278*(8350/2783.333)</f>
        <v>0.71357173936552676</v>
      </c>
      <c r="E342" s="2">
        <f>0.272875773104042*(8350/2783.333)</f>
        <v>0.81862741735133882</v>
      </c>
      <c r="F342" s="2">
        <f>0.226924995188306*(8350/2783.333)</f>
        <v>0.68077506709486502</v>
      </c>
      <c r="G342" s="2">
        <f>0.287597222559152*(8350/2783.333)</f>
        <v>0.86279177100581173</v>
      </c>
      <c r="H342" s="2">
        <f>0.281723675386308*(8350/2783.333)</f>
        <v>0.84517112737702371</v>
      </c>
      <c r="I342" s="2">
        <f>0.272136492048814*(8350/2783.333)</f>
        <v>0.81640957392004221</v>
      </c>
      <c r="J342" s="2">
        <f>0.228556724047163*(8350/2783.333)</f>
        <v>0.68567025425768768</v>
      </c>
      <c r="K342" s="2">
        <f>0.296459509471457*(8350/2783.333)</f>
        <v>0.88937863492678115</v>
      </c>
      <c r="L342" s="2">
        <f>0.29373399774016*(8350/2783.333)</f>
        <v>0.88120209875366606</v>
      </c>
      <c r="M342" s="2">
        <f>0.422930546871612*(8350/2783.333)</f>
        <v>1.2687917925659475</v>
      </c>
      <c r="N342" s="2">
        <f>0.297467148203532*(8350/2783.333)</f>
        <v>0.89240155148503286</v>
      </c>
      <c r="O342" s="2">
        <f>0.517180801382604*(8350/2783.333)</f>
        <v>1.5515425899612965</v>
      </c>
      <c r="P342" s="2">
        <f>0.506935913600903*(8350/2783.333)</f>
        <v>1.5208079229353948</v>
      </c>
      <c r="Q342" s="2">
        <f>0.364121706910308*(8350/2783.333)</f>
        <v>1.0923652515531108</v>
      </c>
      <c r="R342" s="2">
        <f>0.197256830509279*(8350/2783.333)</f>
        <v>0.59177056239856418</v>
      </c>
      <c r="S342" s="2">
        <f>0.0819714347045789*(8350/2783.333)</f>
        <v>0.24591433356455511</v>
      </c>
      <c r="T342" s="2">
        <f t="shared" si="85"/>
        <v>0.10069243236843764</v>
      </c>
      <c r="U342" s="2">
        <f t="shared" si="86"/>
        <v>0.11437794326585224</v>
      </c>
      <c r="V342" s="2">
        <f t="shared" si="87"/>
        <v>0.11043877033537902</v>
      </c>
      <c r="W342" s="2">
        <f t="shared" si="88"/>
        <v>0.10705744606724045</v>
      </c>
      <c r="X342" s="2">
        <f t="shared" si="89"/>
        <v>0.11728533803050227</v>
      </c>
      <c r="Y342" s="2">
        <f t="shared" si="90"/>
        <v>0.10928020503416074</v>
      </c>
      <c r="Z342" s="2">
        <f t="shared" si="91"/>
        <v>0.10579568013572224</v>
      </c>
      <c r="AA342" s="2">
        <f t="shared" si="92"/>
        <v>0.11798772791544039</v>
      </c>
      <c r="AB342" s="2">
        <f t="shared" si="93"/>
        <v>0.10026757173055721</v>
      </c>
      <c r="AC342" s="2">
        <f t="shared" si="94"/>
        <v>0.1151901624778385</v>
      </c>
      <c r="AD342" s="2">
        <f t="shared" si="95"/>
        <v>0.10227444344259566</v>
      </c>
      <c r="AE342" s="2">
        <f t="shared" si="96"/>
        <v>0.10987695088187602</v>
      </c>
      <c r="AF342" s="2">
        <f t="shared" si="97"/>
        <v>0.11908712371493149</v>
      </c>
      <c r="AG342" s="2">
        <f t="shared" si="98"/>
        <v>9.9235315312320327E-2</v>
      </c>
      <c r="AH342" s="2">
        <f t="shared" si="99"/>
        <v>0.1199891551819615</v>
      </c>
      <c r="AI342" s="2">
        <f t="shared" si="100"/>
        <v>0.10099811712417744</v>
      </c>
      <c r="AJ342" s="2">
        <f>0.101876253128549*(8350/2783.333)</f>
        <v>0.30562879598789711</v>
      </c>
      <c r="AK342" s="2">
        <f>0.375618814023417*(8350/2783.333)</f>
        <v>1.1268565770231336</v>
      </c>
      <c r="AL342" s="2">
        <f>0.740423580289765*(8350/2783.333)</f>
        <v>2.2212710068897752</v>
      </c>
      <c r="AM342" s="2">
        <f>0.532091766793743*(8350/2783.333)</f>
        <v>1.5962754915519459</v>
      </c>
      <c r="AN342" s="2">
        <f>0.306207217469961*(8350/2783.333)</f>
        <v>0.91862176242446647</v>
      </c>
      <c r="AO342" s="2">
        <f>0.143717884789137*(8350/2783.333)</f>
        <v>0.43115370600258535</v>
      </c>
      <c r="AP342" s="2">
        <f>0.157256720905171*(8350/2783.333)</f>
        <v>0.4717702192149405</v>
      </c>
      <c r="AQ342" s="2">
        <f>0.157198162209638*(8350/2783.333)</f>
        <v>0.47159454310730148</v>
      </c>
      <c r="AR342" s="2">
        <f>0.207278560128266*(8350/2783.333)</f>
        <v>0.62183575485614595</v>
      </c>
      <c r="AS342" s="2">
        <f>0.236029883595184*(8350/2783.333)</f>
        <v>0.70808973558671728</v>
      </c>
      <c r="AT342" s="2">
        <f>0.21723412133392*(8350/2783.333)</f>
        <v>0.65170244204995786</v>
      </c>
      <c r="AU342" s="2">
        <f>0.130700266788217*(8350/2783.333)</f>
        <v>0.39210084732283723</v>
      </c>
      <c r="AV342" s="2">
        <f>0.110595407563598*(8350/2783.333)</f>
        <v>0.33178626242567455</v>
      </c>
      <c r="AW342" s="2">
        <f>0.0979231513659882*(8350/2783.333)</f>
        <v>0.29376948927993923</v>
      </c>
    </row>
    <row r="343" spans="1:49" x14ac:dyDescent="0.25">
      <c r="A343" s="5">
        <v>45965</v>
      </c>
      <c r="B343" s="2">
        <f>0.288581222872852*(8350/2783.333)</f>
        <v>0.86574377230044397</v>
      </c>
      <c r="C343" s="2">
        <f>0.270084448325321*(8350/2783.333)</f>
        <v>0.81025344201230465</v>
      </c>
      <c r="D343" s="2">
        <f>0.231597817496402*(8350/2783.333)</f>
        <v>0.69479353569801205</v>
      </c>
      <c r="E343" s="2">
        <f>0.22006110734197*(8350/2783.333)</f>
        <v>0.66018340108978979</v>
      </c>
      <c r="F343" s="2">
        <f>0.194897715316634*(8350/2783.333)</f>
        <v>0.58469321597304225</v>
      </c>
      <c r="G343" s="2">
        <f>0.226950691278145*(8350/2783.333)</f>
        <v>0.68085215537361499</v>
      </c>
      <c r="H343" s="2">
        <f>0.415900544510974*(8350/2783.333)</f>
        <v>1.2477017829582844</v>
      </c>
      <c r="I343" s="2">
        <f>0.364867933688734*(8350/2783.333)</f>
        <v>1.0946039321564944</v>
      </c>
      <c r="J343" s="2">
        <f>0.212712237111485*(8350/2783.333)</f>
        <v>0.63813678775802174</v>
      </c>
      <c r="K343" s="2">
        <f>0.256652225514159*(8350/2783.333)</f>
        <v>0.76995676875286734</v>
      </c>
      <c r="L343" s="2">
        <f>0.252960723266314*(8350/2783.333)</f>
        <v>0.75888226068304376</v>
      </c>
      <c r="M343" s="2">
        <f>0.260807170570827*(8350/2783.333)</f>
        <v>0.78242160541566752</v>
      </c>
      <c r="N343" s="2">
        <f>0.19266415294242*(8350/2783.333)</f>
        <v>0.57799252804792234</v>
      </c>
      <c r="O343" s="2">
        <f>0.27718186740767*(8350/2783.333)</f>
        <v>0.83154570180932286</v>
      </c>
      <c r="P343" s="2">
        <f>0.372442712033317*(8350/2783.333)</f>
        <v>1.1173282699117186</v>
      </c>
      <c r="Q343" s="2">
        <f>0.731545035515399*(8350/2783.333)</f>
        <v>2.1946353693767815</v>
      </c>
      <c r="R343" s="2">
        <f>0.521427961402831*(8350/2783.333)</f>
        <v>1.5642840715479027</v>
      </c>
      <c r="S343" s="2">
        <f>0.064868372200428*(8350/2783.333)</f>
        <v>0.19460513990728889</v>
      </c>
      <c r="T343" s="2">
        <f t="shared" si="85"/>
        <v>0.10069243236843764</v>
      </c>
      <c r="U343" s="2">
        <f t="shared" si="86"/>
        <v>0.11437794326585224</v>
      </c>
      <c r="V343" s="2">
        <f t="shared" si="87"/>
        <v>0.11043877033537902</v>
      </c>
      <c r="W343" s="2">
        <f t="shared" si="88"/>
        <v>0.10705744606724045</v>
      </c>
      <c r="X343" s="2">
        <f t="shared" si="89"/>
        <v>0.11728533803050227</v>
      </c>
      <c r="Y343" s="2">
        <f t="shared" si="90"/>
        <v>0.10928020503416074</v>
      </c>
      <c r="Z343" s="2">
        <f t="shared" si="91"/>
        <v>0.10579568013572224</v>
      </c>
      <c r="AA343" s="2">
        <f t="shared" si="92"/>
        <v>0.11798772791544039</v>
      </c>
      <c r="AB343" s="2">
        <f t="shared" si="93"/>
        <v>0.10026757173055721</v>
      </c>
      <c r="AC343" s="2">
        <f t="shared" si="94"/>
        <v>0.1151901624778385</v>
      </c>
      <c r="AD343" s="2">
        <f t="shared" si="95"/>
        <v>0.10227444344259566</v>
      </c>
      <c r="AE343" s="2">
        <f t="shared" si="96"/>
        <v>0.10987695088187602</v>
      </c>
      <c r="AF343" s="2">
        <f t="shared" si="97"/>
        <v>0.11908712371493149</v>
      </c>
      <c r="AG343" s="2">
        <f t="shared" si="98"/>
        <v>9.9235315312320327E-2</v>
      </c>
      <c r="AH343" s="2">
        <f t="shared" si="99"/>
        <v>0.1199891551819615</v>
      </c>
      <c r="AI343" s="2">
        <f t="shared" si="100"/>
        <v>0.10099811712417744</v>
      </c>
      <c r="AJ343" s="2">
        <f>0.149175942081089*(8350/2783.333)</f>
        <v>0.44752787983942088</v>
      </c>
      <c r="AK343" s="2">
        <f>0.452061589423234*(8350/2783.333)</f>
        <v>1.3561849306870593</v>
      </c>
      <c r="AL343" s="2">
        <f>0.347504700531959*(8350/2783.333)</f>
        <v>1.0425142264478802</v>
      </c>
      <c r="AM343" s="2">
        <f>0.437901609317832*(8350/2783.333)</f>
        <v>1.3137049852834337</v>
      </c>
      <c r="AN343" s="2">
        <f>0.262729519249074*(8350/2783.333)</f>
        <v>0.78818865214107303</v>
      </c>
      <c r="AO343" s="2">
        <f>0.156850983295309*(8350/2783.333)</f>
        <v>0.47055300623958135</v>
      </c>
      <c r="AP343" s="2">
        <f>0.227222634867217*(8350/2783.333)</f>
        <v>0.68166798623853675</v>
      </c>
      <c r="AQ343" s="2">
        <f>0.142122045359791*(8350/2783.333)</f>
        <v>0.42636618714119184</v>
      </c>
      <c r="AR343" s="2">
        <f>0.161379997956443*(8350/2783.333)</f>
        <v>0.48414005185017472</v>
      </c>
      <c r="AS343" s="2">
        <f>0.128465856261956*(8350/2783.333)</f>
        <v>0.38539761494127189</v>
      </c>
      <c r="AT343" s="2">
        <f>0.146079699704546*(8350/2783.333)</f>
        <v>0.43823915159736754</v>
      </c>
      <c r="AU343" s="2">
        <f>0.129041633960956*(8350/2783.333)</f>
        <v>0.3871249482451361</v>
      </c>
      <c r="AV343" s="2">
        <f>0.119114661647628*(8350/2783.333)</f>
        <v>0.35734402773857682</v>
      </c>
      <c r="AW343" s="2">
        <f>0.103052459294683*(8350/2783.333)</f>
        <v>0.30915741490888854</v>
      </c>
    </row>
    <row r="344" spans="1:49" x14ac:dyDescent="0.25">
      <c r="A344" s="5">
        <v>45966</v>
      </c>
      <c r="B344" s="2">
        <f>0.297453461116515*(8350/2783.333)</f>
        <v>0.89236049021906572</v>
      </c>
      <c r="C344" s="2">
        <f>0.263356365982698*(8350/2783.333)</f>
        <v>0.79006919256715802</v>
      </c>
      <c r="D344" s="2">
        <f>0.192867777070483*(8350/2783.333)</f>
        <v>0.57860340050527059</v>
      </c>
      <c r="E344" s="2">
        <f>0.197360066795114*(8350/2783.333)</f>
        <v>0.59208027129315854</v>
      </c>
      <c r="F344" s="2">
        <f>0.184352147554011*(8350/2783.333)</f>
        <v>0.5530565088963445</v>
      </c>
      <c r="G344" s="2">
        <f>0.207524849227197*(8350/2783.333)</f>
        <v>0.62257462224142657</v>
      </c>
      <c r="H344" s="2">
        <f>0.187179119917683*(8350/2783.333)</f>
        <v>0.56153742700303944</v>
      </c>
      <c r="I344" s="2">
        <f>0.223673829081217*(8350/2783.333)</f>
        <v>0.67102156760551424</v>
      </c>
      <c r="J344" s="2">
        <f>0.194094964962062*(8350/2783.333)</f>
        <v>0.5822849646209135</v>
      </c>
      <c r="K344" s="2">
        <f>0.247224184576904*(8350/2783.333)</f>
        <v>0.74167264255378174</v>
      </c>
      <c r="L344" s="2">
        <f>0.258369422941416*(8350/2783.333)</f>
        <v>0.77510836165159569</v>
      </c>
      <c r="M344" s="2">
        <f>0.369183123206678*(8350/2783.333)</f>
        <v>1.107549502260692</v>
      </c>
      <c r="N344" s="2">
        <f>0.207636009408293*(8350/2783.333)</f>
        <v>0.62290810282465237</v>
      </c>
      <c r="O344" s="2">
        <f>0.212956800569308*(8350/2783.333)</f>
        <v>0.63887047821935761</v>
      </c>
      <c r="P344" s="2">
        <f>0.569871834847274*(8350/2783.333)</f>
        <v>1.7096157092862172</v>
      </c>
      <c r="Q344" s="2">
        <f>0.340538694804718*(8350/2783.333)</f>
        <v>1.0216162067634014</v>
      </c>
      <c r="R344" s="2">
        <f>0.677372512314884*(8350/2783.333)</f>
        <v>2.0321177803120505</v>
      </c>
      <c r="S344" s="2">
        <f>0.35731533285699*(8350/2783.333)</f>
        <v>1.0719461269477504</v>
      </c>
      <c r="T344" s="2">
        <f t="shared" si="85"/>
        <v>0.10069243236843764</v>
      </c>
      <c r="U344" s="2">
        <f t="shared" si="86"/>
        <v>0.11437794326585224</v>
      </c>
      <c r="V344" s="2">
        <f t="shared" si="87"/>
        <v>0.11043877033537902</v>
      </c>
      <c r="W344" s="2">
        <f t="shared" si="88"/>
        <v>0.10705744606724045</v>
      </c>
      <c r="X344" s="2">
        <f t="shared" si="89"/>
        <v>0.11728533803050227</v>
      </c>
      <c r="Y344" s="2">
        <f t="shared" si="90"/>
        <v>0.10928020503416074</v>
      </c>
      <c r="Z344" s="2">
        <f t="shared" si="91"/>
        <v>0.10579568013572224</v>
      </c>
      <c r="AA344" s="2">
        <f t="shared" si="92"/>
        <v>0.11798772791544039</v>
      </c>
      <c r="AB344" s="2">
        <f t="shared" si="93"/>
        <v>0.10026757173055721</v>
      </c>
      <c r="AC344" s="2">
        <f t="shared" si="94"/>
        <v>0.1151901624778385</v>
      </c>
      <c r="AD344" s="2">
        <f t="shared" si="95"/>
        <v>0.10227444344259566</v>
      </c>
      <c r="AE344" s="2">
        <f t="shared" si="96"/>
        <v>0.10987695088187602</v>
      </c>
      <c r="AF344" s="2">
        <f t="shared" si="97"/>
        <v>0.11908712371493149</v>
      </c>
      <c r="AG344" s="2">
        <f t="shared" si="98"/>
        <v>9.9235315312320327E-2</v>
      </c>
      <c r="AH344" s="2">
        <f t="shared" si="99"/>
        <v>0.1199891551819615</v>
      </c>
      <c r="AI344" s="2">
        <f t="shared" si="100"/>
        <v>0.10099811712417744</v>
      </c>
      <c r="AJ344" s="2">
        <f>0.123555277231796*(8350/2783.333)</f>
        <v>0.37066587608651208</v>
      </c>
      <c r="AK344" s="2">
        <f>0.254809251332725*(8350/2783.333)</f>
        <v>0.7644278455464194</v>
      </c>
      <c r="AL344" s="2">
        <f>0.199190039262736*(8350/2783.333)</f>
        <v>0.59757018935349948</v>
      </c>
      <c r="AM344" s="2">
        <f>0.216141624523669*(8350/2783.333)</f>
        <v>0.64842495122669097</v>
      </c>
      <c r="AN344" s="2">
        <f>0.325151071694776*(8350/2783.333)</f>
        <v>0.97545333190508754</v>
      </c>
      <c r="AO344" s="2">
        <f>0.218636242176621*(8350/2783.333)</f>
        <v>0.65590880508181448</v>
      </c>
      <c r="AP344" s="2">
        <f>0.32750711154615*(8350/2783.333)</f>
        <v>0.98252145230569121</v>
      </c>
      <c r="AQ344" s="2">
        <f>0.203781669329951*(8350/2783.333)</f>
        <v>0.61134508120483155</v>
      </c>
      <c r="AR344" s="2">
        <f>0.260854106008543*(8350/2783.333)</f>
        <v>0.78256241174567709</v>
      </c>
      <c r="AS344" s="2">
        <f>0.181041995182682*(8350/2783.333)</f>
        <v>0.54312605059308139</v>
      </c>
      <c r="AT344" s="2">
        <f>0.164770031653275*(8350/2783.333)</f>
        <v>0.49431015415864676</v>
      </c>
      <c r="AU344" s="2">
        <f>0.402881913741853*(8350/2783.333)</f>
        <v>1.2086458859735678</v>
      </c>
      <c r="AV344" s="2">
        <f>0.180298395523848*(8350/2783.333)</f>
        <v>0.54089525134941896</v>
      </c>
      <c r="AW344" s="2">
        <f>0.0935710113052776*(8350/2783.333)</f>
        <v>0.2807130675341642</v>
      </c>
    </row>
    <row r="345" spans="1:49" x14ac:dyDescent="0.25">
      <c r="A345" s="5">
        <v>45967</v>
      </c>
      <c r="B345" s="2">
        <f>0.237682592948675*(8350/2783.333)</f>
        <v>0.71304786424097999</v>
      </c>
      <c r="C345" s="2">
        <f>0.218662676135269*(8350/2783.333)</f>
        <v>0.65598810696725762</v>
      </c>
      <c r="D345" s="2">
        <f>0.197171114895585*(8350/2783.333)</f>
        <v>0.59151341552668613</v>
      </c>
      <c r="E345" s="2">
        <f>0.23998242863819*(8350/2783.333)</f>
        <v>0.71994737213581272</v>
      </c>
      <c r="F345" s="2">
        <f>0.201146940657448*(8350/2783.333)</f>
        <v>0.60344089424071479</v>
      </c>
      <c r="G345" s="2">
        <f>0.246376533329093*(8350/2783.333)</f>
        <v>0.7391296885058033</v>
      </c>
      <c r="H345" s="2">
        <f>0.233496402142212*(8350/2783.333)</f>
        <v>0.70048929031756746</v>
      </c>
      <c r="I345" s="2">
        <f>0.240915353406227*(8350/2783.333)</f>
        <v>0.72274614677510574</v>
      </c>
      <c r="J345" s="2">
        <f>0.196867750175806*(8350/2783.333)</f>
        <v>0.59060332125835469</v>
      </c>
      <c r="K345" s="2">
        <f>0.25403332525381*(8350/2783.333)</f>
        <v>0.76210006703089883</v>
      </c>
      <c r="L345" s="2">
        <f>0.270851037576267*(8350/2783.333)</f>
        <v>0.81255321004056202</v>
      </c>
      <c r="M345" s="2">
        <f>0.256842196693906*(8350/2783.333)</f>
        <v>0.77052668236036159</v>
      </c>
      <c r="N345" s="2">
        <f>0.172570345580327*(8350/2783.333)</f>
        <v>0.51771109874231047</v>
      </c>
      <c r="O345" s="2">
        <f>0.223473185782607*(8350/2783.333)</f>
        <v>0.67041963763759704</v>
      </c>
      <c r="P345" s="2">
        <f>0.568578630986047*(8350/2783.333)</f>
        <v>1.7057360972379125</v>
      </c>
      <c r="Q345" s="2">
        <f>1.0112395590877*(8350/2783.333)</f>
        <v>3.0337190405827332</v>
      </c>
      <c r="R345" s="2">
        <f>0.466344921939862*(8350/2783.333)</f>
        <v>1.3990349333686807</v>
      </c>
      <c r="S345" s="2">
        <f>0.119413274240693*(8350/2783.333)</f>
        <v>0.35823986562505661</v>
      </c>
      <c r="T345" s="2">
        <f t="shared" si="85"/>
        <v>0.10069243236843764</v>
      </c>
      <c r="U345" s="2">
        <f t="shared" si="86"/>
        <v>0.11437794326585224</v>
      </c>
      <c r="V345" s="2">
        <f t="shared" si="87"/>
        <v>0.11043877033537902</v>
      </c>
      <c r="W345" s="2">
        <f t="shared" si="88"/>
        <v>0.10705744606724045</v>
      </c>
      <c r="X345" s="2">
        <f t="shared" si="89"/>
        <v>0.11728533803050227</v>
      </c>
      <c r="Y345" s="2">
        <f t="shared" si="90"/>
        <v>0.10928020503416074</v>
      </c>
      <c r="Z345" s="2">
        <f t="shared" si="91"/>
        <v>0.10579568013572224</v>
      </c>
      <c r="AA345" s="2">
        <f t="shared" si="92"/>
        <v>0.11798772791544039</v>
      </c>
      <c r="AB345" s="2">
        <f t="shared" si="93"/>
        <v>0.10026757173055721</v>
      </c>
      <c r="AC345" s="2">
        <f t="shared" si="94"/>
        <v>0.1151901624778385</v>
      </c>
      <c r="AD345" s="2">
        <f t="shared" si="95"/>
        <v>0.10227444344259566</v>
      </c>
      <c r="AE345" s="2">
        <f t="shared" si="96"/>
        <v>0.10987695088187602</v>
      </c>
      <c r="AF345" s="2">
        <f t="shared" si="97"/>
        <v>0.11908712371493149</v>
      </c>
      <c r="AG345" s="2">
        <f t="shared" si="98"/>
        <v>9.9235315312320327E-2</v>
      </c>
      <c r="AH345" s="2">
        <f t="shared" si="99"/>
        <v>0.1199891551819615</v>
      </c>
      <c r="AI345" s="2">
        <f t="shared" si="100"/>
        <v>0.10099811712417744</v>
      </c>
      <c r="AJ345" s="2">
        <f>0.211635787749188*(8350/2783.333)</f>
        <v>0.63490743928438187</v>
      </c>
      <c r="AK345" s="2">
        <f>0.351037215659554*(8350/2783.333)</f>
        <v>1.0531117730998323</v>
      </c>
      <c r="AL345" s="2">
        <f>0.186830484156967*(8350/2783.333)</f>
        <v>0.56049151959563448</v>
      </c>
      <c r="AM345" s="2">
        <f>0.207879330008239*(8350/2783.333)</f>
        <v>0.62363806471190941</v>
      </c>
      <c r="AN345" s="2">
        <f>0.334157166326246*(8350/2783.333)</f>
        <v>1.0024716190352188</v>
      </c>
      <c r="AO345" s="2">
        <f>0.172819637160769*(8350/2783.333)</f>
        <v>0.51845897357320203</v>
      </c>
      <c r="AP345" s="2">
        <f>0.212896281055941*(8350/2783.333)</f>
        <v>0.63868891965751451</v>
      </c>
      <c r="AQ345" s="2">
        <f>0.126029561081865*(8350/2783.333)</f>
        <v>0.37808872852568132</v>
      </c>
      <c r="AR345" s="2">
        <f>0.134428884937402*(8350/2783.333)</f>
        <v>0.40328670311001386</v>
      </c>
      <c r="AS345" s="2">
        <f>0.1233207906795*(8350/2783.333)</f>
        <v>0.36996241634537591</v>
      </c>
      <c r="AT345" s="2">
        <f>0.226907187868789*(8350/2783.333)</f>
        <v>0.68072164512991784</v>
      </c>
      <c r="AU345" s="2">
        <f>0.210978095627681*(8350/2783.333)</f>
        <v>0.63293436268356451</v>
      </c>
      <c r="AV345" s="2">
        <f>0.141574513323709*(8350/2783.333)</f>
        <v>0.42472359083622768</v>
      </c>
      <c r="AW345" s="2">
        <f>0.106161130766619*(8350/2783.333)</f>
        <v>0.31848343044158489</v>
      </c>
    </row>
    <row r="346" spans="1:49" x14ac:dyDescent="0.25">
      <c r="A346" s="5">
        <v>45968</v>
      </c>
      <c r="B346" s="2">
        <f>0.298387380931638*(8350/2783.333)</f>
        <v>0.89516224999997362</v>
      </c>
      <c r="C346" s="2">
        <f>0.323428529756124*(8350/2783.333)</f>
        <v>0.97028570547025139</v>
      </c>
      <c r="D346" s="2">
        <f>0.255852994328795*(8350/2783.333)</f>
        <v>0.7675590749096286</v>
      </c>
      <c r="E346" s="2">
        <f>0.265926474977454*(8350/2783.333)</f>
        <v>0.79777952047481948</v>
      </c>
      <c r="F346" s="2">
        <f>0.19763175140324*(8350/2783.333)</f>
        <v>0.59289532521514909</v>
      </c>
      <c r="G346" s="2">
        <f>0.207524849227197*(8350/2783.333)</f>
        <v>0.62257462224142657</v>
      </c>
      <c r="H346" s="2">
        <f>0.23779388193624*(8350/2783.333)</f>
        <v>0.71338173124365722</v>
      </c>
      <c r="I346" s="2">
        <f>0.225071790512974*(8350/2783.333)</f>
        <v>0.6752154524030487</v>
      </c>
      <c r="J346" s="2">
        <f>0.200036647562942*(8350/2783.333)</f>
        <v>0.60011001455828816</v>
      </c>
      <c r="K346" s="2">
        <f>0.250890644941392*(8350/2783.333)</f>
        <v>0.75267202496453733</v>
      </c>
      <c r="L346" s="2">
        <f>0.253792830908637*(8350/2783.333)</f>
        <v>0.76137858390897517</v>
      </c>
      <c r="M346" s="2">
        <f>0.385043018714363*(8350/2783.333)</f>
        <v>1.1551291944819146</v>
      </c>
      <c r="N346" s="2">
        <f>0.219061899869091*(8350/2783.333)</f>
        <v>0.65718577831215697</v>
      </c>
      <c r="O346" s="2">
        <f>0.62497374981892*(8350/2783.333)</f>
        <v>1.8749214739982547</v>
      </c>
      <c r="P346" s="2">
        <f>0.806097073498035*(8350/2783.333)</f>
        <v>2.4182915101098543</v>
      </c>
      <c r="Q346" s="2">
        <f>0.525901169954655*(8350/2783.333)</f>
        <v>1.5777036988105171</v>
      </c>
      <c r="R346" s="2">
        <f>0.319332755805588*(8350/2783.333)</f>
        <v>0.95799838214710964</v>
      </c>
      <c r="S346" s="2">
        <f>0.299072471356368*(8350/2783.333)</f>
        <v>0.89721752152030354</v>
      </c>
      <c r="T346" s="2">
        <f t="shared" si="85"/>
        <v>0.10069243236843764</v>
      </c>
      <c r="U346" s="2">
        <f t="shared" si="86"/>
        <v>0.11437794326585224</v>
      </c>
      <c r="V346" s="2">
        <f t="shared" si="87"/>
        <v>0.11043877033537902</v>
      </c>
      <c r="W346" s="2">
        <f t="shared" si="88"/>
        <v>0.10705744606724045</v>
      </c>
      <c r="X346" s="2">
        <f t="shared" si="89"/>
        <v>0.11728533803050227</v>
      </c>
      <c r="Y346" s="2">
        <f t="shared" si="90"/>
        <v>0.10928020503416074</v>
      </c>
      <c r="Z346" s="2">
        <f t="shared" si="91"/>
        <v>0.10579568013572224</v>
      </c>
      <c r="AA346" s="2">
        <f t="shared" si="92"/>
        <v>0.11798772791544039</v>
      </c>
      <c r="AB346" s="2">
        <f t="shared" si="93"/>
        <v>0.10026757173055721</v>
      </c>
      <c r="AC346" s="2">
        <f t="shared" si="94"/>
        <v>0.1151901624778385</v>
      </c>
      <c r="AD346" s="2">
        <f t="shared" si="95"/>
        <v>0.10227444344259566</v>
      </c>
      <c r="AE346" s="2">
        <f t="shared" si="96"/>
        <v>0.10987695088187602</v>
      </c>
      <c r="AF346" s="2">
        <f t="shared" si="97"/>
        <v>0.11908712371493149</v>
      </c>
      <c r="AG346" s="2">
        <f t="shared" si="98"/>
        <v>9.9235315312320327E-2</v>
      </c>
      <c r="AH346" s="2">
        <f t="shared" si="99"/>
        <v>0.1199891551819615</v>
      </c>
      <c r="AI346" s="2">
        <f t="shared" si="100"/>
        <v>0.10099811712417744</v>
      </c>
      <c r="AJ346" s="2">
        <f>0.306689970355735*(8350/2783.333)</f>
        <v>0.92007002125523241</v>
      </c>
      <c r="AK346" s="2">
        <f>0.556683270264553*(8350/2783.333)</f>
        <v>1.6700500107996479</v>
      </c>
      <c r="AL346" s="2">
        <f>0.326234768489474*(8350/2783.333)</f>
        <v>0.97870442267853108</v>
      </c>
      <c r="AM346" s="2">
        <f>0.501686522976958*(8350/2783.333)</f>
        <v>1.5050597491775493</v>
      </c>
      <c r="AN346" s="2">
        <f>0.538812902951707*(8350/2783.333)</f>
        <v>1.6164389024406181</v>
      </c>
      <c r="AO346" s="2">
        <f>0.122675079228111*(8350/2783.333)</f>
        <v>0.36802528175921584</v>
      </c>
      <c r="AP346" s="2">
        <f>0.127604500226018*(8350/2783.333)</f>
        <v>0.38281354652398769</v>
      </c>
      <c r="AQ346" s="2">
        <f>0.149914195641734*(8350/2783.333)</f>
        <v>0.44974264078659704</v>
      </c>
      <c r="AR346" s="2">
        <f>0.110091213180813*(8350/2783.333)</f>
        <v>0.33027367909617178</v>
      </c>
      <c r="AS346" s="2">
        <f>0.134736404940575*(8350/2783.333)</f>
        <v>0.40420926323001971</v>
      </c>
      <c r="AT346" s="2">
        <f>0.129520721399092*(8350/2783.333)</f>
        <v>0.38856221073167246</v>
      </c>
      <c r="AU346" s="2">
        <f>0.124895051892802*(8350/2783.333)</f>
        <v>0.37468520055088361</v>
      </c>
      <c r="AV346" s="2">
        <f>0.126859438087656*(8350/2783.333)</f>
        <v>0.38057835984121496</v>
      </c>
      <c r="AW346" s="2">
        <f>0.101653557132312*(8350/2783.333)</f>
        <v>0.30496070791917496</v>
      </c>
    </row>
    <row r="347" spans="1:49" x14ac:dyDescent="0.25">
      <c r="A347" s="5">
        <v>45969</v>
      </c>
      <c r="B347" s="2">
        <f>0.29932130074676*(8350/2783.333)</f>
        <v>0.89796400978088076</v>
      </c>
      <c r="C347" s="2">
        <f>0.309972365070876*(8350/2783.333)</f>
        <v>0.92991720657995847</v>
      </c>
      <c r="D347" s="2">
        <f>0.230032967378183*(8350/2783.333)</f>
        <v>0.69009898478113396</v>
      </c>
      <c r="E347" s="2">
        <f>0.224230686217923*(8350/2783.333)</f>
        <v>0.67269213921570092</v>
      </c>
      <c r="F347" s="2">
        <f>0.190991949478626*(8350/2783.333)</f>
        <v>0.57297591705574735</v>
      </c>
      <c r="G347" s="2">
        <f>0.22126507897055*(8350/2783.333)</f>
        <v>0.6637953164080963</v>
      </c>
      <c r="H347" s="2">
        <f>0.233018904387319*(8350/2783.333)</f>
        <v>0.69905679688133471</v>
      </c>
      <c r="I347" s="2">
        <f>0.216218034778509*(8350/2783.333)</f>
        <v>0.64865418201866343</v>
      </c>
      <c r="J347" s="2">
        <f>0.195283301482238*(8350/2783.333)</f>
        <v>0.58584997460838817</v>
      </c>
      <c r="K347" s="2">
        <f>0.225225422389976*(8350/2783.333)</f>
        <v>0.67567634808925081</v>
      </c>
      <c r="L347" s="2">
        <f>0.243807539200756*(8350/2783.333)</f>
        <v>0.73142270519780239</v>
      </c>
      <c r="M347" s="2">
        <f>0.255961091387923*(8350/2783.333)</f>
        <v>0.76788336612584962</v>
      </c>
      <c r="N347" s="2">
        <f>0.233639760112178*(8350/2783.333)</f>
        <v>0.70091936427897283</v>
      </c>
      <c r="O347" s="2">
        <f>0.179154133812275*(8350/2783.333)</f>
        <v>0.53746246580358614</v>
      </c>
      <c r="P347" s="2">
        <f>0.247001937494318*(8350/2783.333)</f>
        <v>0.74100590122617449</v>
      </c>
      <c r="Q347" s="2">
        <f>0.282524485024967*(8350/2783.333)</f>
        <v>0.84757355658071742</v>
      </c>
      <c r="R347" s="2">
        <f>0.436570306013933*(8350/2783.333)</f>
        <v>1.3097110748934262</v>
      </c>
      <c r="S347" s="2">
        <f>0.132972458928668*(8350/2783.333)</f>
        <v>0.39891742456054707</v>
      </c>
      <c r="T347" s="2">
        <f t="shared" si="85"/>
        <v>0.10069243236843764</v>
      </c>
      <c r="U347" s="2">
        <f t="shared" si="86"/>
        <v>0.11437794326585224</v>
      </c>
      <c r="V347" s="2">
        <f t="shared" si="87"/>
        <v>0.11043877033537902</v>
      </c>
      <c r="W347" s="2">
        <f t="shared" si="88"/>
        <v>0.10705744606724045</v>
      </c>
      <c r="X347" s="2">
        <f t="shared" si="89"/>
        <v>0.11728533803050227</v>
      </c>
      <c r="Y347" s="2">
        <f t="shared" si="90"/>
        <v>0.10928020503416074</v>
      </c>
      <c r="Z347" s="2">
        <f t="shared" si="91"/>
        <v>0.10579568013572224</v>
      </c>
      <c r="AA347" s="2">
        <f t="shared" si="92"/>
        <v>0.11798772791544039</v>
      </c>
      <c r="AB347" s="2">
        <f t="shared" si="93"/>
        <v>0.10026757173055721</v>
      </c>
      <c r="AC347" s="2">
        <f t="shared" si="94"/>
        <v>0.1151901624778385</v>
      </c>
      <c r="AD347" s="2">
        <f t="shared" si="95"/>
        <v>0.10227444344259566</v>
      </c>
      <c r="AE347" s="2">
        <f t="shared" si="96"/>
        <v>0.10987695088187602</v>
      </c>
      <c r="AF347" s="2">
        <f t="shared" si="97"/>
        <v>0.11908712371493149</v>
      </c>
      <c r="AG347" s="2">
        <f t="shared" si="98"/>
        <v>9.9235315312320327E-2</v>
      </c>
      <c r="AH347" s="2">
        <f t="shared" si="99"/>
        <v>0.1199891551819615</v>
      </c>
      <c r="AI347" s="2">
        <f t="shared" si="100"/>
        <v>0.10099811712417744</v>
      </c>
      <c r="AJ347" s="2">
        <f>0.258025867298795*(8350/2783.333)</f>
        <v>0.7740776946002994</v>
      </c>
      <c r="AK347" s="2">
        <f>0.36842419986814*(8350/2783.333)</f>
        <v>1.1052727319724109</v>
      </c>
      <c r="AL347" s="2">
        <f>0.288293808629905*(8350/2783.333)</f>
        <v>0.8648815294683404</v>
      </c>
      <c r="AM347" s="2">
        <f>0.290502275162547*(8350/2783.333)</f>
        <v>0.87150692985972722</v>
      </c>
      <c r="AN347" s="2">
        <f>0.4453358517768*(8350/2783.333)</f>
        <v>1.336007715331323</v>
      </c>
      <c r="AO347" s="2">
        <f>0.186549694689949*(8350/2783.333)</f>
        <v>0.55964915109369839</v>
      </c>
      <c r="AP347" s="2">
        <f>0.173915271848515*(8350/2783.333)</f>
        <v>0.52174587803008221</v>
      </c>
      <c r="AQ347" s="2">
        <f>0.132297160221689*(8350/2783.333)</f>
        <v>0.39689152819698564</v>
      </c>
      <c r="AR347" s="2">
        <f>0.192904633184777*(8350/2783.333)</f>
        <v>0.57871396886139315</v>
      </c>
      <c r="AS347" s="2">
        <f>0.192296826144305*(8350/2783.333)</f>
        <v>0.57689054752160329</v>
      </c>
      <c r="AT347" s="2">
        <f>0.187231220047801*(8350/2783.333)</f>
        <v>0.5616937274121141</v>
      </c>
      <c r="AU347" s="2">
        <f>0.113616348667422*(8350/2783.333)</f>
        <v>0.34084908682251713</v>
      </c>
      <c r="AV347" s="2">
        <f>0.0918530485787303*(8350/2783.333)</f>
        <v>0.27555917873729008</v>
      </c>
      <c r="AW347" s="2">
        <f>0.0938818784524712*(8350/2783.333)</f>
        <v>0.28164566908743383</v>
      </c>
    </row>
    <row r="348" spans="1:49" x14ac:dyDescent="0.25">
      <c r="A348" s="5">
        <v>45970</v>
      </c>
      <c r="B348" s="2">
        <f>0.227876434889889*(8350/2783.333)</f>
        <v>0.68362938654145067</v>
      </c>
      <c r="C348" s="2">
        <f>0.235482881991828*(8350/2783.333)</f>
        <v>0.70644873058012325</v>
      </c>
      <c r="D348" s="2">
        <f>0.183869888890724*(8350/2783.333)</f>
        <v>0.551609732733219</v>
      </c>
      <c r="E348" s="2">
        <f>0.223304113134378*(8350/2783.333)</f>
        <v>0.66991241963216508</v>
      </c>
      <c r="F348" s="2">
        <f>0.182789841218807*(8350/2783.333)</f>
        <v>0.54836958932942637</v>
      </c>
      <c r="G348" s="2">
        <f>0.229319696406309*(8350/2783.333)</f>
        <v>0.68795917160924724</v>
      </c>
      <c r="H348" s="2">
        <f>0.220126465005234*(8350/2783.333)</f>
        <v>0.66037947410306452</v>
      </c>
      <c r="I348" s="2">
        <f>0.219013957642025*(8350/2783.333)</f>
        <v>0.65704195161373269</v>
      </c>
      <c r="J348" s="2">
        <f>0.1774582536796*(8350/2783.333)</f>
        <v>0.53237482479626341</v>
      </c>
      <c r="K348" s="2">
        <f>0.245652844420694*(8350/2783.333)</f>
        <v>0.73695862152060099</v>
      </c>
      <c r="L348" s="2">
        <f>0.244223593021918*(8350/2783.333)</f>
        <v>0.73267086681076798</v>
      </c>
      <c r="M348" s="2">
        <f>0.257282749346897*(8350/2783.333)</f>
        <v>0.77184834047761763</v>
      </c>
      <c r="N348" s="2">
        <f>0.26200748815278*(8350/2783.333)</f>
        <v>0.78602255859277725</v>
      </c>
      <c r="O348" s="2">
        <f>0.774832239108433*(8350/2783.333)</f>
        <v>2.3244969957081736</v>
      </c>
      <c r="P348" s="2">
        <f>0.568578630986047*(8350/2783.333)</f>
        <v>1.7057360972379125</v>
      </c>
      <c r="Q348" s="2">
        <f>0.483923408406705*(8350/2783.333)</f>
        <v>1.4517703990848343</v>
      </c>
      <c r="R348" s="2">
        <f>0.59102612612969*(8350/2783.333)</f>
        <v>1.7730785907338114</v>
      </c>
      <c r="S348" s="2">
        <f>0.212478587326343*(8350/2783.333)</f>
        <v>0.63743583831864914</v>
      </c>
      <c r="T348" s="2">
        <f t="shared" si="85"/>
        <v>0.10069243236843764</v>
      </c>
      <c r="U348" s="2">
        <f t="shared" si="86"/>
        <v>0.11437794326585224</v>
      </c>
      <c r="V348" s="2">
        <f t="shared" si="87"/>
        <v>0.11043877033537902</v>
      </c>
      <c r="W348" s="2">
        <f t="shared" si="88"/>
        <v>0.10705744606724045</v>
      </c>
      <c r="X348" s="2">
        <f t="shared" si="89"/>
        <v>0.11728533803050227</v>
      </c>
      <c r="Y348" s="2">
        <f t="shared" si="90"/>
        <v>0.10928020503416074</v>
      </c>
      <c r="Z348" s="2">
        <f t="shared" si="91"/>
        <v>0.10579568013572224</v>
      </c>
      <c r="AA348" s="2">
        <f t="shared" si="92"/>
        <v>0.11798772791544039</v>
      </c>
      <c r="AB348" s="2">
        <f t="shared" si="93"/>
        <v>0.10026757173055721</v>
      </c>
      <c r="AC348" s="2">
        <f t="shared" si="94"/>
        <v>0.1151901624778385</v>
      </c>
      <c r="AD348" s="2">
        <f t="shared" si="95"/>
        <v>0.10227444344259566</v>
      </c>
      <c r="AE348" s="2">
        <f t="shared" si="96"/>
        <v>0.10987695088187602</v>
      </c>
      <c r="AF348" s="2">
        <f t="shared" si="97"/>
        <v>0.11908712371493149</v>
      </c>
      <c r="AG348" s="2">
        <f t="shared" si="98"/>
        <v>9.9235315312320327E-2</v>
      </c>
      <c r="AH348" s="2">
        <f t="shared" si="99"/>
        <v>0.1199891551819615</v>
      </c>
      <c r="AI348" s="2">
        <f t="shared" si="100"/>
        <v>0.10099811712417744</v>
      </c>
      <c r="AJ348" s="2">
        <f>0.112488362829439*(8350/2783.333)</f>
        <v>0.3374651289033031</v>
      </c>
      <c r="AK348" s="2">
        <f>0.220934609684963*(8350/2783.333)</f>
        <v>0.6628039084326014</v>
      </c>
      <c r="AL348" s="2">
        <f>0.171596613910322*(8350/2783.333)</f>
        <v>0.51478990338245145</v>
      </c>
      <c r="AM348" s="2">
        <f>0.237293098483172*(8350/2783.333)</f>
        <v>0.71187938070453249</v>
      </c>
      <c r="AN348" s="2">
        <f>0.269251173982207*(8350/2783.333)</f>
        <v>0.80775361868358242</v>
      </c>
      <c r="AO348" s="2">
        <f>0.124316716541382*(8350/2783.333)</f>
        <v>0.37295019428884052</v>
      </c>
      <c r="AP348" s="2">
        <f>0.157090135395737*(8350/2783.333)</f>
        <v>0.47127046262678884</v>
      </c>
      <c r="AQ348" s="2">
        <f>0.14517114764403*(8350/2783.333)</f>
        <v>0.43551349508939363</v>
      </c>
      <c r="AR348" s="2">
        <f>0.230636191411435*(8350/2783.333)</f>
        <v>0.69190865709761806</v>
      </c>
      <c r="AS348" s="2">
        <f>0.168018547927089*(8350/2783.333)</f>
        <v>0.50405570414722023</v>
      </c>
      <c r="AT348" s="2">
        <f>0.386758711114504*(8350/2783.333)</f>
        <v>1.1602762722987545</v>
      </c>
      <c r="AU348" s="2">
        <f>0.268200928168207*(8350/2783.333)</f>
        <v>0.80460288086424792</v>
      </c>
      <c r="AV348" s="2">
        <f>0.109201347804393*(8350/2783.333)</f>
        <v>0.32760408264719965</v>
      </c>
      <c r="AW348" s="2">
        <f>0.111135005121717*(8350/2783.333)</f>
        <v>0.33340505529389924</v>
      </c>
    </row>
    <row r="349" spans="1:49" x14ac:dyDescent="0.25">
      <c r="A349" s="5">
        <v>45971</v>
      </c>
      <c r="B349" s="2">
        <f>0.208264118772317*(8350/2783.333)</f>
        <v>0.62479243114239125</v>
      </c>
      <c r="C349" s="2">
        <f>0.218182098825082*(8350/2783.333)</f>
        <v>0.65454637486403244</v>
      </c>
      <c r="D349" s="2">
        <f>0.187782014186272*(8350/2783.333)</f>
        <v>0.56334611002541568</v>
      </c>
      <c r="E349" s="2">
        <f>0.231179984344511*(8350/2783.333)</f>
        <v>0.69354003609222115</v>
      </c>
      <c r="F349" s="2">
        <f>0.190210796311024*(8350/2783.333)</f>
        <v>0.57063245727228751</v>
      </c>
      <c r="G349" s="2">
        <f>0.238795716918966*(8350/2783.333)</f>
        <v>0.71638723655177783</v>
      </c>
      <c r="H349" s="2">
        <f>0.206279030113365*(8350/2783.333)</f>
        <v>0.61883716445232961</v>
      </c>
      <c r="I349" s="2">
        <f>0.229265674808247*(8350/2783.333)</f>
        <v>0.68779710679565165</v>
      </c>
      <c r="J349" s="2">
        <f>0.188153282361183*(8350/2783.333)</f>
        <v>0.56445991468353851</v>
      </c>
      <c r="K349" s="2">
        <f>0.25350954520174*(8350/2783.333)</f>
        <v>0.76052872668650517</v>
      </c>
      <c r="L349" s="2">
        <f>0.259201530583739*(8350/2783.333)</f>
        <v>0.7776046848775271</v>
      </c>
      <c r="M349" s="2">
        <f>0.41191673054683*(8350/2783.333)</f>
        <v>1.2357503396345426</v>
      </c>
      <c r="N349" s="2">
        <f>0.220243888537449*(8350/2783.333)</f>
        <v>0.66073174474189844</v>
      </c>
      <c r="O349" s="2">
        <f>0.549856712581069*(8350/2783.333)</f>
        <v>1.6495703352965416</v>
      </c>
      <c r="P349" s="2">
        <f>0.357355333652337*(8350/2783.333)</f>
        <v>1.0720661293481648</v>
      </c>
      <c r="Q349" s="2">
        <f>0.863609903306703*(8350/2783.333)</f>
        <v>2.5908300201991534</v>
      </c>
      <c r="R349" s="2">
        <f>0.642387338601917*(8350/2783.333)</f>
        <v>1.9271622466036262</v>
      </c>
      <c r="S349" s="2">
        <f>0.149305113211912*(8350/2783.333)</f>
        <v>0.4479153932782966</v>
      </c>
      <c r="T349" s="2">
        <f t="shared" si="85"/>
        <v>0.10069243236843764</v>
      </c>
      <c r="U349" s="2">
        <f t="shared" si="86"/>
        <v>0.11437794326585224</v>
      </c>
      <c r="V349" s="2">
        <f t="shared" si="87"/>
        <v>0.11043877033537902</v>
      </c>
      <c r="W349" s="2">
        <f t="shared" si="88"/>
        <v>0.10705744606724045</v>
      </c>
      <c r="X349" s="2">
        <f t="shared" si="89"/>
        <v>0.11728533803050227</v>
      </c>
      <c r="Y349" s="2">
        <f t="shared" si="90"/>
        <v>0.10928020503416074</v>
      </c>
      <c r="Z349" s="2">
        <f t="shared" si="91"/>
        <v>0.10579568013572224</v>
      </c>
      <c r="AA349" s="2">
        <f t="shared" si="92"/>
        <v>0.11798772791544039</v>
      </c>
      <c r="AB349" s="2">
        <f t="shared" si="93"/>
        <v>0.10026757173055721</v>
      </c>
      <c r="AC349" s="2">
        <f t="shared" si="94"/>
        <v>0.1151901624778385</v>
      </c>
      <c r="AD349" s="2">
        <f t="shared" si="95"/>
        <v>0.10227444344259566</v>
      </c>
      <c r="AE349" s="2">
        <f t="shared" si="96"/>
        <v>0.10987695088187602</v>
      </c>
      <c r="AF349" s="2">
        <f t="shared" si="97"/>
        <v>0.11908712371493149</v>
      </c>
      <c r="AG349" s="2">
        <f t="shared" si="98"/>
        <v>9.9235315312320327E-2</v>
      </c>
      <c r="AH349" s="2">
        <f t="shared" si="99"/>
        <v>0.1199891551819615</v>
      </c>
      <c r="AI349" s="2">
        <f t="shared" si="100"/>
        <v>0.10099811712417744</v>
      </c>
      <c r="AJ349" s="2">
        <f>0.126738910142064*(8350/2783.333)</f>
        <v>0.38021677596113401</v>
      </c>
      <c r="AK349" s="2">
        <f>0.226930121481027*(8350/2783.333)</f>
        <v>0.68079044597487026</v>
      </c>
      <c r="AL349" s="2">
        <f>0.355840214440501*(8350/2783.333)</f>
        <v>1.0675207711683008</v>
      </c>
      <c r="AM349" s="2">
        <f>0.299095061458594*(8350/2783.333)</f>
        <v>0.89728529183509986</v>
      </c>
      <c r="AN349" s="2">
        <f>0.35744879037315*(8350/2783.333)</f>
        <v>1.0723464995441792</v>
      </c>
      <c r="AO349" s="2">
        <f>0.109989699989194*(8350/2783.333)</f>
        <v>0.32996913948484452</v>
      </c>
      <c r="AP349" s="2">
        <f>0.12094107984868*(8350/2783.333)</f>
        <v>0.36282328299793049</v>
      </c>
      <c r="AQ349" s="2">
        <f>0.120608934798774*(8350/2783.333)</f>
        <v>0.36182684772887769</v>
      </c>
      <c r="AR349" s="2">
        <f>0.172977143558576*(8350/2783.333)</f>
        <v>0.5189314928232136</v>
      </c>
      <c r="AS349" s="2">
        <f>0.188920376855818*(8350/2783.333)</f>
        <v>0.56676119844304695</v>
      </c>
      <c r="AT349" s="2">
        <f>0.183296413321753*(8350/2783.333)</f>
        <v>0.54988930582026596</v>
      </c>
      <c r="AU349" s="2">
        <f>0.0978593368084368*(8350/2783.333)</f>
        <v>0.29357804558435774</v>
      </c>
      <c r="AV349" s="2">
        <f>0.0949509591547414*(8350/2783.333)</f>
        <v>0.28485291157834541</v>
      </c>
      <c r="AW349" s="2">
        <f>0.0934155777316808*(8350/2783.333)</f>
        <v>0.28024676675752935</v>
      </c>
    </row>
    <row r="350" spans="1:49" x14ac:dyDescent="0.25">
      <c r="A350" s="5">
        <v>45972</v>
      </c>
      <c r="B350" s="2">
        <f>0.247955710915023*(8350/2783.333)</f>
        <v>0.7438672218309641</v>
      </c>
      <c r="C350" s="2">
        <f>0.234041150061266*(8350/2783.333)</f>
        <v>0.70212353427044938</v>
      </c>
      <c r="D350" s="2">
        <f>0.174872000710966*(8350/2783.333)</f>
        <v>0.52461606496116797</v>
      </c>
      <c r="E350" s="2">
        <f>0.216818101549562*(8350/2783.333)</f>
        <v>0.6504543825474135</v>
      </c>
      <c r="F350" s="2">
        <f>0.182789841218807*(8350/2783.333)</f>
        <v>0.54836958932942637</v>
      </c>
      <c r="G350" s="2">
        <f>0.438739749736038*(8350/2783.333)</f>
        <v>1.3162194068391808</v>
      </c>
      <c r="H350" s="2">
        <f>0.307986051905371*(8350/2783.333)</f>
        <v>0.92395826636979717</v>
      </c>
      <c r="I350" s="2">
        <f>0.352286280802916*(8350/2783.333)</f>
        <v>1.0568589689786847</v>
      </c>
      <c r="J350" s="2">
        <f>0.296291905697189*(8350/2783.333)</f>
        <v>0.88887582354376105</v>
      </c>
      <c r="K350" s="2">
        <f>0.246700404524834*(8350/2783.333)</f>
        <v>0.74010130220938841</v>
      </c>
      <c r="L350" s="2">
        <f>0.23257408602939*(8350/2783.333)</f>
        <v>0.69772234164773306</v>
      </c>
      <c r="M350" s="2">
        <f>0.260807170570827*(8350/2783.333)</f>
        <v>0.78242160541566752</v>
      </c>
      <c r="N350" s="2">
        <f>0.265947450380641*(8350/2783.333)</f>
        <v>0.79784244669191728</v>
      </c>
      <c r="O350" s="2">
        <f>0.790982402114571*(8350/2783.333)</f>
        <v>2.3729474905290409</v>
      </c>
      <c r="P350" s="2">
        <f>0.311231062601915*(8350/2783.333)</f>
        <v>0.9336932996253019</v>
      </c>
      <c r="Q350" s="2">
        <f>0.677304107672543*(8350/2783.333)</f>
        <v>2.0319125663604503</v>
      </c>
      <c r="R350" s="2">
        <f>0.498352634060236*(8350/2783.333)</f>
        <v>1.4950580812295804</v>
      </c>
      <c r="S350" s="2">
        <f>0.212632668970524*(8350/2783.333)</f>
        <v>0.63789808330655295</v>
      </c>
      <c r="T350" s="2">
        <f t="shared" si="85"/>
        <v>0.10069243236843764</v>
      </c>
      <c r="U350" s="2">
        <f t="shared" si="86"/>
        <v>0.11437794326585224</v>
      </c>
      <c r="V350" s="2">
        <f t="shared" si="87"/>
        <v>0.11043877033537902</v>
      </c>
      <c r="W350" s="2">
        <f t="shared" si="88"/>
        <v>0.10705744606724045</v>
      </c>
      <c r="X350" s="2">
        <f t="shared" si="89"/>
        <v>0.11728533803050227</v>
      </c>
      <c r="Y350" s="2">
        <f t="shared" si="90"/>
        <v>0.10928020503416074</v>
      </c>
      <c r="Z350" s="2">
        <f t="shared" si="91"/>
        <v>0.10579568013572224</v>
      </c>
      <c r="AA350" s="2">
        <f t="shared" si="92"/>
        <v>0.11798772791544039</v>
      </c>
      <c r="AB350" s="2">
        <f t="shared" si="93"/>
        <v>0.10026757173055721</v>
      </c>
      <c r="AC350" s="2">
        <f t="shared" si="94"/>
        <v>0.1151901624778385</v>
      </c>
      <c r="AD350" s="2">
        <f t="shared" si="95"/>
        <v>0.10227444344259566</v>
      </c>
      <c r="AE350" s="2">
        <f t="shared" si="96"/>
        <v>0.10987695088187602</v>
      </c>
      <c r="AF350" s="2">
        <f t="shared" si="97"/>
        <v>0.11908712371493149</v>
      </c>
      <c r="AG350" s="2">
        <f t="shared" si="98"/>
        <v>9.9235315312320327E-2</v>
      </c>
      <c r="AH350" s="2">
        <f t="shared" si="99"/>
        <v>0.1199891551819615</v>
      </c>
      <c r="AI350" s="2">
        <f t="shared" si="100"/>
        <v>0.10099811712417744</v>
      </c>
      <c r="AJ350" s="2">
        <f>0.161910473722158*(8350/2783.333)</f>
        <v>0.48573147933790806</v>
      </c>
      <c r="AK350" s="2">
        <f>0.346240806222702*(8350/2783.333)</f>
        <v>1.0387225430660167</v>
      </c>
      <c r="AL350" s="2">
        <f>0.302377952820199*(8350/2783.333)</f>
        <v>0.90713396709939564</v>
      </c>
      <c r="AM350" s="2">
        <f>0.168550808114788*(8350/2783.333)</f>
        <v>0.50565248490154779</v>
      </c>
      <c r="AN350" s="2">
        <f>0.18478021743877*(8350/2783.333)</f>
        <v>0.55434071870441937</v>
      </c>
      <c r="AO350" s="2">
        <f>0.0779031525025228*(8350/2783.333)</f>
        <v>0.2337094854967284</v>
      </c>
      <c r="AP350" s="2">
        <f>0.12144083637698*(8350/2783.333)</f>
        <v>0.36432255276238495</v>
      </c>
      <c r="AQ350" s="2">
        <f>0.0911342793844667*(8350/2783.333)</f>
        <v>0.27340287089625892</v>
      </c>
      <c r="AR350" s="2">
        <f>0.148149451565278*(8350/2783.333)</f>
        <v>0.44444840792318674</v>
      </c>
      <c r="AS350" s="2">
        <f>0.196316408630599*(8350/2783.333)</f>
        <v>0.58894929642464744</v>
      </c>
      <c r="AT350" s="2">
        <f>0.1749349490289*(8350/2783.333)</f>
        <v>0.52480490993758855</v>
      </c>
      <c r="AU350" s="2">
        <f>0.102669372007495*(8350/2783.333)</f>
        <v>0.30800815290969041</v>
      </c>
      <c r="AV350" s="2">
        <f>0.0833337944946996*(8350/2783.333)</f>
        <v>0.25000141342438797</v>
      </c>
      <c r="AW350" s="2">
        <f>0.0764733182096288*(8350/2783.333)</f>
        <v>0.22941998210433348</v>
      </c>
    </row>
    <row r="351" spans="1:49" x14ac:dyDescent="0.25">
      <c r="A351" s="5">
        <v>45973</v>
      </c>
      <c r="B351" s="2">
        <f>0.235347793410869*(8350/2783.333)</f>
        <v>0.70604346478871172</v>
      </c>
      <c r="C351" s="2">
        <f>0.20184247027871*(8350/2783.333)</f>
        <v>0.60552748335439144</v>
      </c>
      <c r="D351" s="2">
        <f>0.195215052247812*(8350/2783.333)</f>
        <v>0.58564522688058795</v>
      </c>
      <c r="E351" s="2">
        <f>0.232569843969829*(8350/2783.333)</f>
        <v>0.69770961546752475</v>
      </c>
      <c r="F351" s="2">
        <f>0.19763175140324*(8350/2783.333)</f>
        <v>0.59289532521514909</v>
      </c>
      <c r="G351" s="2">
        <f>0.231688701534473*(8350/2783.333)</f>
        <v>0.69506618784488006</v>
      </c>
      <c r="H351" s="2">
        <f>0.246866339279189*(8350/2783.333)</f>
        <v>0.74059910653207051</v>
      </c>
      <c r="I351" s="2">
        <f>0.21016020190756*(8350/2783.333)</f>
        <v>0.63048068122934775</v>
      </c>
      <c r="J351" s="2">
        <f>0.203601657123469*(8350/2783.333)</f>
        <v>0.61080504452071294</v>
      </c>
      <c r="K351" s="2">
        <f>0.255080885357949*(8350/2783.333)</f>
        <v>0.76524274771968637</v>
      </c>
      <c r="L351" s="2">
        <f>0.259201530583739*(8350/2783.333)</f>
        <v>0.7776046848775271</v>
      </c>
      <c r="M351" s="2">
        <f>0.407951756669909*(8350/2783.333)</f>
        <v>1.2238554165792368</v>
      </c>
      <c r="N351" s="2">
        <f>0.243489665681831*(8350/2783.333)</f>
        <v>0.73046908452682169</v>
      </c>
      <c r="O351" s="2">
        <f>0.26741665256675*(8350/2783.333)</f>
        <v>0.80225005377809966</v>
      </c>
      <c r="P351" s="2">
        <f>0.457794166874285*(8350/2783.333)</f>
        <v>1.3733826650998207</v>
      </c>
      <c r="Q351" s="2">
        <f>0.498073215670059*(8350/2783.333)</f>
        <v>1.4942198259586601</v>
      </c>
      <c r="R351" s="2">
        <f>0.441036498402823*(8350/2783.333)</f>
        <v>1.3231096536647142</v>
      </c>
      <c r="S351" s="2">
        <f>0.230043894763038*(8350/2783.333)</f>
        <v>0.69013176693962552</v>
      </c>
      <c r="T351" s="2">
        <f t="shared" si="85"/>
        <v>0.10069243236843764</v>
      </c>
      <c r="U351" s="2">
        <f t="shared" si="86"/>
        <v>0.11437794326585224</v>
      </c>
      <c r="V351" s="2">
        <f t="shared" si="87"/>
        <v>0.11043877033537902</v>
      </c>
      <c r="W351" s="2">
        <f t="shared" si="88"/>
        <v>0.10705744606724045</v>
      </c>
      <c r="X351" s="2">
        <f t="shared" si="89"/>
        <v>0.11728533803050227</v>
      </c>
      <c r="Y351" s="2">
        <f t="shared" si="90"/>
        <v>0.10928020503416074</v>
      </c>
      <c r="Z351" s="2">
        <f t="shared" si="91"/>
        <v>0.10579568013572224</v>
      </c>
      <c r="AA351" s="2">
        <f t="shared" si="92"/>
        <v>0.11798772791544039</v>
      </c>
      <c r="AB351" s="2">
        <f t="shared" si="93"/>
        <v>0.10026757173055721</v>
      </c>
      <c r="AC351" s="2">
        <f t="shared" si="94"/>
        <v>0.1151901624778385</v>
      </c>
      <c r="AD351" s="2">
        <f t="shared" si="95"/>
        <v>0.10227444344259566</v>
      </c>
      <c r="AE351" s="2">
        <f t="shared" si="96"/>
        <v>0.10987695088187602</v>
      </c>
      <c r="AF351" s="2">
        <f t="shared" si="97"/>
        <v>0.11908712371493149</v>
      </c>
      <c r="AG351" s="2">
        <f t="shared" si="98"/>
        <v>9.9235315312320327E-2</v>
      </c>
      <c r="AH351" s="2">
        <f t="shared" si="99"/>
        <v>0.1199891551819615</v>
      </c>
      <c r="AI351" s="2">
        <f t="shared" si="100"/>
        <v>0.10099811712417744</v>
      </c>
      <c r="AJ351" s="2">
        <f>0.156301215737401*(8350/2783.333)</f>
        <v>0.46890370336833637</v>
      </c>
      <c r="AK351" s="2">
        <f>0.330652475552936*(8350/2783.333)</f>
        <v>0.99195754545611825</v>
      </c>
      <c r="AL351" s="2">
        <f>0.291742986798956*(8350/2783.333)</f>
        <v>0.87522906521472121</v>
      </c>
      <c r="AM351" s="2">
        <f>0.190363265635525*(8350/2783.333)</f>
        <v>0.57108986530057204</v>
      </c>
      <c r="AN351" s="2">
        <f>0.181364112578557*(8350/2783.333)</f>
        <v>0.54409240289643834</v>
      </c>
      <c r="AO351" s="2">
        <f>0.122973558739615*(8350/2783.333)</f>
        <v>0.36892072040096602</v>
      </c>
      <c r="AP351" s="2">
        <f>0.114277659471342*(8350/2783.333)</f>
        <v>0.34283301947187383</v>
      </c>
      <c r="AQ351" s="2">
        <f>0.113155573659524*(8350/2783.333)</f>
        <v>0.33946676163327305</v>
      </c>
      <c r="AR351" s="2">
        <f>0.179020726477998*(8350/2783.333)</f>
        <v>0.5370622437528253</v>
      </c>
      <c r="AS351" s="2">
        <f>0.127501156465246*(8350/2783.333)</f>
        <v>0.38250351520454157</v>
      </c>
      <c r="AT351" s="2">
        <f>0.110830389450362*(8350/2783.333)</f>
        <v>0.33249120817039329</v>
      </c>
      <c r="AU351" s="2">
        <f>0.112455305688339*(8350/2783.333)</f>
        <v>0.33736595746812653</v>
      </c>
      <c r="AV351" s="2">
        <f>0.10579364617078*(8350/2783.333)</f>
        <v>0.31738097652203895</v>
      </c>
      <c r="AW351" s="2">
        <f>0.0965242492036169*(8350/2783.333)</f>
        <v>0.28957278229022587</v>
      </c>
    </row>
    <row r="352" spans="1:49" x14ac:dyDescent="0.25">
      <c r="A352" s="5">
        <v>45974</v>
      </c>
      <c r="B352" s="2">
        <f>0.259629708604054*(8350/2783.333)</f>
        <v>0.7788892190923089</v>
      </c>
      <c r="C352" s="2">
        <f>0.217701521514894*(8350/2783.333)</f>
        <v>0.65310464276080815</v>
      </c>
      <c r="D352" s="2">
        <f>0.183087463831615*(8350/2783.333)</f>
        <v>0.54926245727478029</v>
      </c>
      <c r="E352" s="2">
        <f>0.21820796117488*(8350/2783.333)</f>
        <v>0.65462396192271777</v>
      </c>
      <c r="F352" s="2">
        <f>0.177321769045595*(8350/2783.333)</f>
        <v>0.53196537084521256</v>
      </c>
      <c r="G352" s="2">
        <f>0.210841456406627*(8350/2783.333)</f>
        <v>0.63252444497131211</v>
      </c>
      <c r="H352" s="2">
        <f>0.189089110937251*(8350/2783.333)</f>
        <v>0.56726740074796833</v>
      </c>
      <c r="I352" s="2">
        <f>0.202238420460933*(8350/2783.333)</f>
        <v>0.6067153340433189</v>
      </c>
      <c r="J352" s="2">
        <f>0.179042702373168*(8350/2783.333)</f>
        <v>0.53712817144623015</v>
      </c>
      <c r="K352" s="2">
        <f>0.238843703743788*(8350/2783.333)</f>
        <v>0.71653119704348467</v>
      </c>
      <c r="L352" s="2">
        <f>0.243807539200756*(8350/2783.333)</f>
        <v>0.73142270519780239</v>
      </c>
      <c r="M352" s="2">
        <f>0.30001635668705*(8350/2783.333)</f>
        <v>0.90004917785146921</v>
      </c>
      <c r="N352" s="2">
        <f>0.499193214270033*(8350/2783.333)</f>
        <v>1.4975798221609755</v>
      </c>
      <c r="O352" s="2">
        <f>0.680935942561119*(8350/2783.333)</f>
        <v>2.0428080723310313</v>
      </c>
      <c r="P352" s="2">
        <f>0.251743684985482*(8350/2783.333)</f>
        <v>0.75523114540329095</v>
      </c>
      <c r="Q352" s="2">
        <f>0.821632141758753*(8350/2783.333)</f>
        <v>2.4648967204734715</v>
      </c>
      <c r="R352" s="2">
        <f>0.815080110972305*(8350/2783.333)</f>
        <v>2.4452406257601047</v>
      </c>
      <c r="S352" s="2">
        <f>0.163942869409158*(8350/2783.333)</f>
        <v>0.49182866712911022</v>
      </c>
      <c r="T352" s="2">
        <f t="shared" si="85"/>
        <v>0.10069243236843764</v>
      </c>
      <c r="U352" s="2">
        <f t="shared" si="86"/>
        <v>0.11437794326585224</v>
      </c>
      <c r="V352" s="2">
        <f t="shared" si="87"/>
        <v>0.11043877033537902</v>
      </c>
      <c r="W352" s="2">
        <f t="shared" si="88"/>
        <v>0.10705744606724045</v>
      </c>
      <c r="X352" s="2">
        <f t="shared" si="89"/>
        <v>0.11728533803050227</v>
      </c>
      <c r="Y352" s="2">
        <f t="shared" si="90"/>
        <v>0.10928020503416074</v>
      </c>
      <c r="Z352" s="2">
        <f t="shared" si="91"/>
        <v>0.10579568013572224</v>
      </c>
      <c r="AA352" s="2">
        <f t="shared" si="92"/>
        <v>0.11798772791544039</v>
      </c>
      <c r="AB352" s="2">
        <f t="shared" si="93"/>
        <v>0.10026757173055721</v>
      </c>
      <c r="AC352" s="2">
        <f t="shared" si="94"/>
        <v>0.1151901624778385</v>
      </c>
      <c r="AD352" s="2">
        <f t="shared" si="95"/>
        <v>0.10227444344259566</v>
      </c>
      <c r="AE352" s="2">
        <f t="shared" si="96"/>
        <v>0.10987695088187602</v>
      </c>
      <c r="AF352" s="2">
        <f t="shared" si="97"/>
        <v>0.11908712371493149</v>
      </c>
      <c r="AG352" s="2">
        <f t="shared" si="98"/>
        <v>9.9235315312320327E-2</v>
      </c>
      <c r="AH352" s="2">
        <f t="shared" si="99"/>
        <v>0.1199891551819615</v>
      </c>
      <c r="AI352" s="2">
        <f t="shared" si="100"/>
        <v>0.10099811712417744</v>
      </c>
      <c r="AJ352" s="2">
        <f>0.0983894170839704*(8350/2783.333)</f>
        <v>0.29516828660140676</v>
      </c>
      <c r="AK352" s="2">
        <f>0.318961227550611*(8350/2783.333)</f>
        <v>0.95688379724869432</v>
      </c>
      <c r="AL352" s="2">
        <f>0.340606344193855*(8350/2783.333)</f>
        <v>1.0218191549551177</v>
      </c>
      <c r="AM352" s="2">
        <f>0.373455712097472*(8350/2783.333)</f>
        <v>1.1203672704681358</v>
      </c>
      <c r="AN352" s="2">
        <f>0.185711882400646*(8350/2783.333)</f>
        <v>0.55713571392477768</v>
      </c>
      <c r="AO352" s="2">
        <f>0.117003968509536*(8350/2783.333)</f>
        <v>0.35101194756596726</v>
      </c>
      <c r="AP352" s="2">
        <f>0.117942540678878*(8350/2783.333)</f>
        <v>0.35382766441120517</v>
      </c>
      <c r="AQ352" s="2">
        <f>0.131280792793609*(8350/2783.333)</f>
        <v>0.39384242554758486</v>
      </c>
      <c r="AR352" s="2">
        <f>0.102414229472358*(8350/2783.333)</f>
        <v>0.30724272521261087</v>
      </c>
      <c r="AS352" s="2">
        <f>0.191171343048143*(8350/2783.333)</f>
        <v>0.5735140978287514</v>
      </c>
      <c r="AT352" s="2">
        <f>0.225267685066269*(8350/2783.333)</f>
        <v>0.67580313613331455</v>
      </c>
      <c r="AU352" s="2">
        <f>0.176478532820639*(8350/2783.333)</f>
        <v>0.52943566186738433</v>
      </c>
      <c r="AV352" s="2">
        <f>0.0930922128091347*(8350/2783.333)</f>
        <v>0.27927667187371219</v>
      </c>
      <c r="AW352" s="2">
        <f>0.0777167867984033*(8350/2783.333)</f>
        <v>0.23315038831741208</v>
      </c>
    </row>
    <row r="353" spans="1:49" x14ac:dyDescent="0.25">
      <c r="A353" s="5">
        <v>45975</v>
      </c>
      <c r="B353" s="2">
        <f>0.211532838125246*(8350/2783.333)</f>
        <v>0.63459859037556798</v>
      </c>
      <c r="C353" s="2">
        <f>0.221546139996394*(8350/2783.333)</f>
        <v>0.66463849958660592</v>
      </c>
      <c r="D353" s="2">
        <f>0.175654425770075*(8350/2783.333)</f>
        <v>0.52696334041960713</v>
      </c>
      <c r="E353" s="2">
        <f>0.211258663048291*(8350/2783.333)</f>
        <v>0.6337760650461981</v>
      </c>
      <c r="F353" s="2">
        <f>0.173416003207586*(8350/2783.333)</f>
        <v>0.52024807192791755</v>
      </c>
      <c r="G353" s="2">
        <f>0.215579466662956*(8350/2783.333)</f>
        <v>0.64673847744257784</v>
      </c>
      <c r="H353" s="2">
        <f>0.215351487456314*(8350/2783.333)</f>
        <v>0.64605453974074223</v>
      </c>
      <c r="I353" s="2">
        <f>0.207364279044045*(8350/2783.333)</f>
        <v>0.62209291163427893</v>
      </c>
      <c r="J353" s="2">
        <f>0.17349713194568*(8350/2783.333)</f>
        <v>0.52049145817134701</v>
      </c>
      <c r="K353" s="2">
        <f>0.208464460723745*(8350/2783.333)</f>
        <v>0.62539345706865535</v>
      </c>
      <c r="L353" s="2">
        <f>0.220508525215701*(8350/2783.333)</f>
        <v>0.66152565487173265</v>
      </c>
      <c r="M353" s="2">
        <f>0.438349889726306*(8350/2783.333)</f>
        <v>1.3150498266699142</v>
      </c>
      <c r="N353" s="2">
        <f>0.19778610383864*(8350/2783.333)</f>
        <v>0.59335838257680351</v>
      </c>
      <c r="O353" s="2">
        <f>0.313989215654217*(8350/2783.333)</f>
        <v>0.94196775977316194</v>
      </c>
      <c r="P353" s="2">
        <f>0.377615527478224*(8350/2783.333)</f>
        <v>1.1328467181049371</v>
      </c>
      <c r="Q353" s="2">
        <f>0.332520470688818*(8350/2783.333)</f>
        <v>0.9975615315349009</v>
      </c>
      <c r="R353" s="2">
        <f>0.83629452481953*(8350/2783.333)</f>
        <v>2.5088838749237237</v>
      </c>
      <c r="S353" s="2">
        <f>0.387669416760753*(8350/2783.333)</f>
        <v>1.1630083895647001</v>
      </c>
      <c r="T353" s="2">
        <f t="shared" si="85"/>
        <v>0.10069243236843764</v>
      </c>
      <c r="U353" s="2">
        <f t="shared" si="86"/>
        <v>0.11437794326585224</v>
      </c>
      <c r="V353" s="2">
        <f t="shared" si="87"/>
        <v>0.11043877033537902</v>
      </c>
      <c r="W353" s="2">
        <f t="shared" si="88"/>
        <v>0.10705744606724045</v>
      </c>
      <c r="X353" s="2">
        <f t="shared" si="89"/>
        <v>0.11728533803050227</v>
      </c>
      <c r="Y353" s="2">
        <f t="shared" si="90"/>
        <v>0.10928020503416074</v>
      </c>
      <c r="Z353" s="2">
        <f t="shared" si="91"/>
        <v>0.10579568013572224</v>
      </c>
      <c r="AA353" s="2">
        <f t="shared" si="92"/>
        <v>0.11798772791544039</v>
      </c>
      <c r="AB353" s="2">
        <f t="shared" si="93"/>
        <v>0.10026757173055721</v>
      </c>
      <c r="AC353" s="2">
        <f t="shared" si="94"/>
        <v>0.1151901624778385</v>
      </c>
      <c r="AD353" s="2">
        <f t="shared" si="95"/>
        <v>0.10227444344259566</v>
      </c>
      <c r="AE353" s="2">
        <f t="shared" si="96"/>
        <v>0.10987695088187602</v>
      </c>
      <c r="AF353" s="2">
        <f t="shared" si="97"/>
        <v>0.11908712371493149</v>
      </c>
      <c r="AG353" s="2">
        <f t="shared" si="98"/>
        <v>9.9235315312320327E-2</v>
      </c>
      <c r="AH353" s="2">
        <f t="shared" si="99"/>
        <v>0.1199891551819615</v>
      </c>
      <c r="AI353" s="2">
        <f t="shared" si="100"/>
        <v>0.10099811712417744</v>
      </c>
      <c r="AJ353" s="2">
        <f>0.213151803420743*(8350/2783.333)</f>
        <v>0.63945548684372566</v>
      </c>
      <c r="AK353" s="2">
        <f>0.332750904681558*(8350/2783.333)</f>
        <v>0.99825283359591266</v>
      </c>
      <c r="AL353" s="2">
        <f>0.273922232925522*(8350/2783.333)</f>
        <v>0.82176679719175272</v>
      </c>
      <c r="AM353" s="2">
        <f>0.223412443697248*(8350/2783.333)</f>
        <v>0.67023741135969861</v>
      </c>
      <c r="AN353" s="2">
        <f>0.224841810799444*(8350/2783.333)</f>
        <v>0.67452551317983123</v>
      </c>
      <c r="AO353" s="2">
        <f>0.111631337302466*(8350/2783.333)</f>
        <v>0.33489405201446892</v>
      </c>
      <c r="AP353" s="2">
        <f>0.125605474112817*(8350/2783.333)</f>
        <v>0.37681646746617076</v>
      </c>
      <c r="AQ353" s="2">
        <f>0.135176867934581*(8350/2783.333)</f>
        <v>0.40553065237028763</v>
      </c>
      <c r="AR353" s="2">
        <f>0.103067589787971*(8350/2783.333)</f>
        <v>0.3092028063941904</v>
      </c>
      <c r="AS353" s="2">
        <f>0.178791028990357*(8350/2783.333)</f>
        <v>0.53637315120737739</v>
      </c>
      <c r="AT353" s="2">
        <f>0.171328042863356*(8350/2783.333)</f>
        <v>0.51398419014506092</v>
      </c>
      <c r="AU353" s="2">
        <f>0.184771696956947*(8350/2783.333)</f>
        <v>0.55431515725588887</v>
      </c>
      <c r="AV353" s="2">
        <f>0.102076153479567*(8350/2783.333)</f>
        <v>0.3062284971127725</v>
      </c>
      <c r="AW353" s="2">
        <f>0.0704114088393534*(8350/2783.333)</f>
        <v>0.21123425181557534</v>
      </c>
    </row>
    <row r="354" spans="1:49" x14ac:dyDescent="0.25">
      <c r="A354" s="5">
        <v>45976</v>
      </c>
      <c r="B354" s="2">
        <f>0.21340067775549*(8350/2783.333)</f>
        <v>0.6402021099373828</v>
      </c>
      <c r="C354" s="2">
        <f>0.217220944204707*(8350/2783.333)</f>
        <v>0.65166291065758297</v>
      </c>
      <c r="D354" s="2">
        <f>0.17526321324052*(8350/2783.333)</f>
        <v>0.52578970269038794</v>
      </c>
      <c r="E354" s="2">
        <f>0.209868803422973*(8350/2783.333)</f>
        <v>0.62960648567089417</v>
      </c>
      <c r="F354" s="2">
        <f>0.179274651964599*(8350/2783.333)</f>
        <v>0.53782402030386056</v>
      </c>
      <c r="G354" s="2">
        <f>0.22126507897055*(8350/2783.333)</f>
        <v>0.6637953164080963</v>
      </c>
      <c r="H354" s="2">
        <f>0.220603962760126*(8350/2783.333)</f>
        <v>0.6618119675392965</v>
      </c>
      <c r="I354" s="2">
        <f>0.216218034778509*(8350/2783.333)</f>
        <v>0.64865418201866343</v>
      </c>
      <c r="J354" s="2">
        <f>0.1774582536796*(8350/2783.333)</f>
        <v>0.53237482479626341</v>
      </c>
      <c r="K354" s="2">
        <f>0.241986384056207*(8350/2783.333)</f>
        <v>0.72595923910984606</v>
      </c>
      <c r="L354" s="2">
        <f>0.237150678062169*(8350/2783.333)</f>
        <v>0.71145211939035391</v>
      </c>
      <c r="M354" s="2">
        <f>0.252436670163993*(8350/2783.333)</f>
        <v>0.75731010118780007</v>
      </c>
      <c r="N354" s="2">
        <f>0.205272032071576*(8350/2783.333)</f>
        <v>0.61581616996516841</v>
      </c>
      <c r="O354" s="2">
        <f>0.376336356561634*(8350/2783.333)</f>
        <v>1.1290092048955838</v>
      </c>
      <c r="P354" s="2">
        <f>0.320714557584245*(8350/2783.333)</f>
        <v>0.96214378797953526</v>
      </c>
      <c r="Q354" s="2">
        <f>0.367423328605091*(8350/2783.333)</f>
        <v>1.1022701178236707</v>
      </c>
      <c r="R354" s="2">
        <f>0.891749746981572*(8350/2783.333)</f>
        <v>2.6752495613338865</v>
      </c>
      <c r="S354" s="2">
        <f>0.228503078321223*(8350/2783.333)</f>
        <v>0.68550931706059259</v>
      </c>
      <c r="T354" s="2">
        <f t="shared" si="85"/>
        <v>0.10069243236843764</v>
      </c>
      <c r="U354" s="2">
        <f t="shared" si="86"/>
        <v>0.11437794326585224</v>
      </c>
      <c r="V354" s="2">
        <f t="shared" si="87"/>
        <v>0.11043877033537902</v>
      </c>
      <c r="W354" s="2">
        <f t="shared" si="88"/>
        <v>0.10705744606724045</v>
      </c>
      <c r="X354" s="2">
        <f t="shared" si="89"/>
        <v>0.11728533803050227</v>
      </c>
      <c r="Y354" s="2">
        <f t="shared" si="90"/>
        <v>0.10928020503416074</v>
      </c>
      <c r="Z354" s="2">
        <f t="shared" si="91"/>
        <v>0.10579568013572224</v>
      </c>
      <c r="AA354" s="2">
        <f t="shared" si="92"/>
        <v>0.11798772791544039</v>
      </c>
      <c r="AB354" s="2">
        <f t="shared" si="93"/>
        <v>0.10026757173055721</v>
      </c>
      <c r="AC354" s="2">
        <f t="shared" si="94"/>
        <v>0.1151901624778385</v>
      </c>
      <c r="AD354" s="2">
        <f t="shared" si="95"/>
        <v>0.10227444344259566</v>
      </c>
      <c r="AE354" s="2">
        <f t="shared" si="96"/>
        <v>0.10987695088187602</v>
      </c>
      <c r="AF354" s="2">
        <f t="shared" si="97"/>
        <v>0.11908712371493149</v>
      </c>
      <c r="AG354" s="2">
        <f t="shared" si="98"/>
        <v>9.9235315312320327E-2</v>
      </c>
      <c r="AH354" s="2">
        <f t="shared" si="99"/>
        <v>0.1199891551819615</v>
      </c>
      <c r="AI354" s="2">
        <f t="shared" si="100"/>
        <v>0.10099811712417744</v>
      </c>
      <c r="AJ354" s="2">
        <f>0.295774657520534*(8350/2783.333)</f>
        <v>0.88732407882795794</v>
      </c>
      <c r="AK354" s="2">
        <f>0.556683270264553*(8350/2783.333)</f>
        <v>1.6700500107996479</v>
      </c>
      <c r="AL354" s="2">
        <f>0.454141792258474*(8350/2783.333)</f>
        <v>1.3624255399401577</v>
      </c>
      <c r="AM354" s="2">
        <f>0.42501242987376*(8350/2783.333)</f>
        <v>1.2750374423203743</v>
      </c>
      <c r="AN354" s="2">
        <f>0.339126046122919*(8350/2783.333)</f>
        <v>1.0173782602104635</v>
      </c>
      <c r="AO354" s="2">
        <f>0.0941702858794864*(8350/2783.333)</f>
        <v>0.28251089147209896</v>
      </c>
      <c r="AP354" s="2">
        <f>0.121107665358114*(8350/2783.333)</f>
        <v>0.36332303958608203</v>
      </c>
      <c r="AQ354" s="2">
        <f>0.104685845092194*(8350/2783.333)</f>
        <v>0.31405757288826769</v>
      </c>
      <c r="AR354" s="2">
        <f>0.0952272660006139*(8350/2783.333)</f>
        <v>0.2856818322152348</v>
      </c>
      <c r="AS354" s="2">
        <f>0.0963091963716043*(8350/2783.333)</f>
        <v>0.28892762371692349</v>
      </c>
      <c r="AT354" s="2">
        <f>0.111814091131874*(8350/2783.333)</f>
        <v>0.33544231356835535</v>
      </c>
      <c r="AU354" s="2">
        <f>0.706411721130733*(8350/2783.333)</f>
        <v>2.1192354171928471</v>
      </c>
      <c r="AV354" s="2">
        <f>0.0847278542539047*(8350/2783.333)</f>
        <v>0.25418359320286288</v>
      </c>
      <c r="AW354" s="2">
        <f>0.16646935732218*(8350/2783.333)</f>
        <v>0.49940813177589649</v>
      </c>
    </row>
    <row r="355" spans="1:49" x14ac:dyDescent="0.25">
      <c r="A355" s="5">
        <v>45977</v>
      </c>
      <c r="B355" s="2">
        <f>0.285779463427484*(8350/2783.333)</f>
        <v>0.85733849295772124</v>
      </c>
      <c r="C355" s="2">
        <f>0.282098881080007*(8350/2783.333)</f>
        <v>0.84629674459292314</v>
      </c>
      <c r="D355" s="2">
        <f>0.22651205461219*(8350/2783.333)</f>
        <v>0.67953624521815714</v>
      </c>
      <c r="E355" s="2">
        <f>0.250638019098959*(8350/2783.333)</f>
        <v>0.7519141473464761</v>
      </c>
      <c r="F355" s="2">
        <f>0.196850598235639*(8350/2783.333)</f>
        <v>0.59055186543169036</v>
      </c>
      <c r="G355" s="2">
        <f>0.276225997943963*(8350/2783.333)</f>
        <v>0.82867809307477558</v>
      </c>
      <c r="H355" s="2">
        <f>0.273128715798251*(8350/2783.333)</f>
        <v>0.8193862455248434</v>
      </c>
      <c r="I355" s="2">
        <f>0.273068466336652*(8350/2783.333)</f>
        <v>0.81920549711839841</v>
      </c>
      <c r="J355" s="2">
        <f>0.224595602313243*(8350/2783.333)</f>
        <v>0.67378688763277095</v>
      </c>
      <c r="K355" s="2">
        <f>0.301697309992154*(8350/2783.333)</f>
        <v>0.90509203837071728</v>
      </c>
      <c r="L355" s="2">
        <f>0.277091844893692*(8350/2783.333)</f>
        <v>0.83127563423504525</v>
      </c>
      <c r="M355" s="2">
        <f>0.256401644040914*(8350/2783.333)</f>
        <v>0.76920502424310566</v>
      </c>
      <c r="N355" s="2">
        <f>0.188724190714559*(8350/2783.333)</f>
        <v>0.56617263994878231</v>
      </c>
      <c r="O355" s="2">
        <f>0.175398281950382*(8350/2783.333)</f>
        <v>0.52619490886850062</v>
      </c>
      <c r="P355" s="2">
        <f>0.347009702762523*(8350/2783.333)</f>
        <v>1.0410292329617288</v>
      </c>
      <c r="Q355" s="2">
        <f>0.843800173138008*(8350/2783.333)</f>
        <v>2.5314008225757978</v>
      </c>
      <c r="R355" s="2">
        <f>0.382975997347261*(8350/2783.333)</f>
        <v>1.148928129637967</v>
      </c>
      <c r="S355" s="2">
        <f>0.219874506247057*(8350/2783.333)</f>
        <v>0.65962359773800816</v>
      </c>
      <c r="T355" s="2">
        <f t="shared" si="85"/>
        <v>0.10069243236843764</v>
      </c>
      <c r="U355" s="2">
        <f t="shared" si="86"/>
        <v>0.11437794326585224</v>
      </c>
      <c r="V355" s="2">
        <f t="shared" si="87"/>
        <v>0.11043877033537902</v>
      </c>
      <c r="W355" s="2">
        <f t="shared" si="88"/>
        <v>0.10705744606724045</v>
      </c>
      <c r="X355" s="2">
        <f t="shared" si="89"/>
        <v>0.11728533803050227</v>
      </c>
      <c r="Y355" s="2">
        <f t="shared" si="90"/>
        <v>0.10928020503416074</v>
      </c>
      <c r="Z355" s="2">
        <f t="shared" si="91"/>
        <v>0.10579568013572224</v>
      </c>
      <c r="AA355" s="2">
        <f t="shared" si="92"/>
        <v>0.11798772791544039</v>
      </c>
      <c r="AB355" s="2">
        <f t="shared" si="93"/>
        <v>0.10026757173055721</v>
      </c>
      <c r="AC355" s="2">
        <f t="shared" si="94"/>
        <v>0.1151901624778385</v>
      </c>
      <c r="AD355" s="2">
        <f t="shared" si="95"/>
        <v>0.10227444344259566</v>
      </c>
      <c r="AE355" s="2">
        <f t="shared" si="96"/>
        <v>0.10987695088187602</v>
      </c>
      <c r="AF355" s="2">
        <f t="shared" si="97"/>
        <v>0.11908712371493149</v>
      </c>
      <c r="AG355" s="2">
        <f t="shared" si="98"/>
        <v>9.9235315312320327E-2</v>
      </c>
      <c r="AH355" s="2">
        <f t="shared" si="99"/>
        <v>0.1199891551819615</v>
      </c>
      <c r="AI355" s="2">
        <f t="shared" si="100"/>
        <v>0.10099811712417744</v>
      </c>
      <c r="AJ355" s="2">
        <f>0.0999054327555262*(8350/2783.333)</f>
        <v>0.2997163341607505</v>
      </c>
      <c r="AK355" s="2">
        <f>0.186460416857594*(8350/2783.333)</f>
        <v>0.55938131756455589</v>
      </c>
      <c r="AL355" s="2">
        <f>0.190567093840107*(8350/2783.333)</f>
        <v>0.57170134998754729</v>
      </c>
      <c r="AM355" s="2">
        <f>0.253156703952799*(8350/2783.333)</f>
        <v>0.75947020281291344</v>
      </c>
      <c r="AN355" s="2">
        <f>0.562104526998611*(8350/2783.333)</f>
        <v>1.6863137829495785</v>
      </c>
      <c r="AO355" s="2">
        <f>0.560843002115864*(8350/2783.333)</f>
        <v>1.6825292078480947</v>
      </c>
      <c r="AP355" s="2">
        <f>0.141597683018427*(8350/2783.333)</f>
        <v>0.42479309992870701</v>
      </c>
      <c r="AQ355" s="2">
        <f>0.11332496823087*(8350/2783.333)</f>
        <v>0.33997494540817319</v>
      </c>
      <c r="AR355" s="2">
        <f>0.129038662333593*(8350/2783.333)</f>
        <v>0.3871160333619818</v>
      </c>
      <c r="AS355" s="2">
        <f>0.178791028990357*(8350/2783.333)</f>
        <v>0.53637315120737739</v>
      </c>
      <c r="AT355" s="2">
        <f>0.169524589780584*(8350/2783.333)</f>
        <v>0.50857383024879665</v>
      </c>
      <c r="AU355" s="2">
        <f>0.162546017071641*(8350/2783.333)</f>
        <v>0.48763810961469573</v>
      </c>
      <c r="AV355" s="2">
        <f>0.0954156457411431*(8350/2783.333)</f>
        <v>0.28624697150450373</v>
      </c>
      <c r="AW355" s="2">
        <f>0.098855752807569*(8350/2783.333)</f>
        <v>0.29656729393974823</v>
      </c>
    </row>
    <row r="356" spans="1:49" x14ac:dyDescent="0.25">
      <c r="A356" s="5">
        <v>45978</v>
      </c>
      <c r="B356" s="2">
        <f>0.305858739452618*(8350/2783.333)</f>
        <v>0.91757632824723423</v>
      </c>
      <c r="C356" s="2">
        <f>0.294593891144879*(8350/2783.333)</f>
        <v>0.88378177927676627</v>
      </c>
      <c r="D356" s="2">
        <f>0.229641754848628*(8350/2783.333)</f>
        <v>0.68892534705191455</v>
      </c>
      <c r="E356" s="2">
        <f>0.259903749934411*(8350/2783.333)</f>
        <v>0.77971134318183588</v>
      </c>
      <c r="F356" s="2">
        <f>0.220285193263691*(8350/2783.333)</f>
        <v>0.66085565893546294</v>
      </c>
      <c r="G356" s="2">
        <f>0.268171380508204*(8350/2783.333)</f>
        <v>0.80451423787362397</v>
      </c>
      <c r="H356" s="2">
        <f>0.275993702327604*(8350/2783.333)</f>
        <v>0.82798120614223669</v>
      </c>
      <c r="I356" s="2">
        <f>0.245575224845419*(8350/2783.333)</f>
        <v>0.73672576276688728</v>
      </c>
      <c r="J356" s="2">
        <f>0.215485022325228*(8350/2783.333)</f>
        <v>0.64645514439546259</v>
      </c>
      <c r="K356" s="2">
        <f>0.292793049106969*(8350/2783.333)</f>
        <v>0.87837925251602578</v>
      </c>
      <c r="L356" s="2">
        <f>0.278756060178339*(8350/2783.333)</f>
        <v>0.83626828068690717</v>
      </c>
      <c r="M356" s="2">
        <f>0.410154519934865*(8350/2783.333)</f>
        <v>1.230463707165518</v>
      </c>
      <c r="N356" s="2">
        <f>0.19778610383864*(8350/2783.333)</f>
        <v>0.59335838257680351</v>
      </c>
      <c r="O356" s="2">
        <f>0.279810963710995*(8350/2783.333)</f>
        <v>0.83943299166388252</v>
      </c>
      <c r="P356" s="2">
        <f>0.672466007837933*(8350/2783.333)</f>
        <v>2.0173982651183806</v>
      </c>
      <c r="Q356" s="2">
        <f>1.05180233990931*(8350/2783.333)</f>
        <v>3.1554073976210346</v>
      </c>
      <c r="R356" s="2">
        <f>0.537431817463018*(8350/2783.333)</f>
        <v>1.6122956454783524</v>
      </c>
      <c r="S356" s="2">
        <f>0.221723485977235*(8350/2783.333)</f>
        <v>0.6651705375928475</v>
      </c>
      <c r="T356" s="2">
        <f t="shared" si="85"/>
        <v>0.10069243236843764</v>
      </c>
      <c r="U356" s="2">
        <f t="shared" si="86"/>
        <v>0.11437794326585224</v>
      </c>
      <c r="V356" s="2">
        <f t="shared" si="87"/>
        <v>0.11043877033537902</v>
      </c>
      <c r="W356" s="2">
        <f t="shared" si="88"/>
        <v>0.10705744606724045</v>
      </c>
      <c r="X356" s="2">
        <f t="shared" si="89"/>
        <v>0.11728533803050227</v>
      </c>
      <c r="Y356" s="2">
        <f t="shared" si="90"/>
        <v>0.10928020503416074</v>
      </c>
      <c r="Z356" s="2">
        <f t="shared" si="91"/>
        <v>0.10579568013572224</v>
      </c>
      <c r="AA356" s="2">
        <f t="shared" si="92"/>
        <v>0.11798772791544039</v>
      </c>
      <c r="AB356" s="2">
        <f t="shared" si="93"/>
        <v>0.10026757173055721</v>
      </c>
      <c r="AC356" s="2">
        <f t="shared" si="94"/>
        <v>0.1151901624778385</v>
      </c>
      <c r="AD356" s="2">
        <f t="shared" si="95"/>
        <v>0.10227444344259566</v>
      </c>
      <c r="AE356" s="2">
        <f t="shared" si="96"/>
        <v>0.10987695088187602</v>
      </c>
      <c r="AF356" s="2">
        <f t="shared" si="97"/>
        <v>0.11908712371493149</v>
      </c>
      <c r="AG356" s="2">
        <f t="shared" si="98"/>
        <v>9.9235315312320327E-2</v>
      </c>
      <c r="AH356" s="2">
        <f t="shared" si="99"/>
        <v>0.1199891551819615</v>
      </c>
      <c r="AI356" s="2">
        <f t="shared" si="100"/>
        <v>0.10099811712417744</v>
      </c>
      <c r="AJ356" s="2">
        <f>0.144627895066422*(8350/2783.333)</f>
        <v>0.43388373716138956</v>
      </c>
      <c r="AK356" s="2">
        <f>0.309068633087105*(8350/2783.333)</f>
        <v>0.927206010303951</v>
      </c>
      <c r="AL356" s="2">
        <f>0.285132061974941*(8350/2783.333)</f>
        <v>0.85539628836749126</v>
      </c>
      <c r="AM356" s="2">
        <f>0.176813102630219*(8350/2783.333)</f>
        <v>0.53043937141632991</v>
      </c>
      <c r="AN356" s="2">
        <f>0.181985222553141*(8350/2783.333)</f>
        <v>0.5459557330433441</v>
      </c>
      <c r="AO356" s="2">
        <f>0.0828280644423375*(8350/2783.333)</f>
        <v>0.24848422308560206</v>
      </c>
      <c r="AP356" s="2">
        <f>0.102949844829868*(8350/2783.333)</f>
        <v>0.30884957147757752</v>
      </c>
      <c r="AQ356" s="2">
        <f>0.115018913944336*(8350/2783.333)</f>
        <v>0.34505678315717425</v>
      </c>
      <c r="AR356" s="2">
        <f>0.188821131212195*(8350/2783.333)</f>
        <v>0.56646346147652049</v>
      </c>
      <c r="AS356" s="2">
        <f>0.171234213916125*(8350/2783.333)</f>
        <v>0.51370270326965539</v>
      </c>
      <c r="AT356" s="2">
        <f>0.0931237591831447*(8350/2783.333)</f>
        <v>0.27937131100707613</v>
      </c>
      <c r="AU356" s="2">
        <f>0.0819364616667251*(8350/2783.333)</f>
        <v>0.24580941443842838</v>
      </c>
      <c r="AV356" s="2">
        <f>0.0738851672378657*(8350/2783.333)</f>
        <v>0.22165552825916923</v>
      </c>
      <c r="AW356" s="2">
        <f>0.0819134932855171*(8350/2783.333)</f>
        <v>0.24574050928655236</v>
      </c>
    </row>
    <row r="357" spans="1:49" x14ac:dyDescent="0.25">
      <c r="A357" s="5">
        <v>45979</v>
      </c>
      <c r="B357" s="2">
        <f>0.268968906755279*(8350/2783.333)</f>
        <v>0.80690681690138444</v>
      </c>
      <c r="C357" s="2">
        <f>0.27777368528832*(8350/2783.333)</f>
        <v>0.83332115566390086</v>
      </c>
      <c r="D357" s="2">
        <f>0.195997477306921*(8350/2783.333)</f>
        <v>0.58799250233902733</v>
      </c>
      <c r="E357" s="2">
        <f>0.248321586390096*(8350/2783.333)</f>
        <v>0.74496484838763655</v>
      </c>
      <c r="F357" s="2">
        <f>0.214817121090479*(8350/2783.333)</f>
        <v>0.64445144045124958</v>
      </c>
      <c r="G357" s="2">
        <f>0.507440898452804*(8350/2783.333)</f>
        <v>1.5223228776725288</v>
      </c>
      <c r="H357" s="2">
        <f>0.497552660597514*(8350/2783.333)</f>
        <v>1.4926581605539984</v>
      </c>
      <c r="I357" s="2">
        <f>0.46086128533609*(8350/2783.333)</f>
        <v>1.3825840215871947</v>
      </c>
      <c r="J357" s="2">
        <f>0.394131612525004*(8350/2783.333)</f>
        <v>1.1823949791792012</v>
      </c>
      <c r="K357" s="2">
        <f>0.288602808690411*(8350/2783.333)</f>
        <v>0.86580852976087663</v>
      </c>
      <c r="L357" s="2">
        <f>0.261697853510709*(8350/2783.333)</f>
        <v>0.78509365455531999</v>
      </c>
      <c r="M357" s="2">
        <f>0.24803114363408*(8350/2783.333)</f>
        <v>0.74409352001523787</v>
      </c>
      <c r="N357" s="2">
        <f>0.169812372020824*(8350/2783.333)</f>
        <v>0.50943717707291292</v>
      </c>
      <c r="O357" s="2">
        <f>0.289951763738105*(8350/2783.333)</f>
        <v>0.86985539538861345</v>
      </c>
      <c r="P357" s="2">
        <f>0.548749505113903*(8350/2783.333)</f>
        <v>1.6462487124972423</v>
      </c>
      <c r="Q357" s="2">
        <f>0.450907191458879*(8350/2783.333)</f>
        <v>1.3527217363792414</v>
      </c>
      <c r="R357" s="2">
        <f>0.523661057597276*(8350/2783.333)</f>
        <v>1.5709833609335468</v>
      </c>
      <c r="S357" s="2">
        <f>0.307546961786352*(8350/2783.333)</f>
        <v>0.92264099585498482</v>
      </c>
      <c r="T357" s="2">
        <f t="shared" si="85"/>
        <v>0.10069243236843764</v>
      </c>
      <c r="U357" s="2">
        <f t="shared" si="86"/>
        <v>0.11437794326585224</v>
      </c>
      <c r="V357" s="2">
        <f t="shared" si="87"/>
        <v>0.11043877033537902</v>
      </c>
      <c r="W357" s="2">
        <f t="shared" si="88"/>
        <v>0.10705744606724045</v>
      </c>
      <c r="X357" s="2">
        <f t="shared" si="89"/>
        <v>0.11728533803050227</v>
      </c>
      <c r="Y357" s="2">
        <f t="shared" si="90"/>
        <v>0.10928020503416074</v>
      </c>
      <c r="Z357" s="2">
        <f t="shared" si="91"/>
        <v>0.10579568013572224</v>
      </c>
      <c r="AA357" s="2">
        <f t="shared" si="92"/>
        <v>0.11798772791544039</v>
      </c>
      <c r="AB357" s="2">
        <f t="shared" si="93"/>
        <v>0.10026757173055721</v>
      </c>
      <c r="AC357" s="2">
        <f t="shared" si="94"/>
        <v>0.1151901624778385</v>
      </c>
      <c r="AD357" s="2">
        <f t="shared" si="95"/>
        <v>0.10227444344259566</v>
      </c>
      <c r="AE357" s="2">
        <f t="shared" si="96"/>
        <v>0.10987695088187602</v>
      </c>
      <c r="AF357" s="2">
        <f t="shared" si="97"/>
        <v>0.11908712371493149</v>
      </c>
      <c r="AG357" s="2">
        <f t="shared" si="98"/>
        <v>9.9235315312320327E-2</v>
      </c>
      <c r="AH357" s="2">
        <f t="shared" si="99"/>
        <v>0.1199891551819615</v>
      </c>
      <c r="AI357" s="2">
        <f t="shared" si="100"/>
        <v>0.10099811712417744</v>
      </c>
      <c r="AJ357" s="2">
        <f>0.104301878203038*(8350/2783.333)</f>
        <v>0.3129056720828472</v>
      </c>
      <c r="AK357" s="2">
        <f>0.182863109779955*(8350/2783.333)</f>
        <v>0.5485893950391949</v>
      </c>
      <c r="AL357" s="2">
        <f>0.347217269017871*(8350/2783.333)</f>
        <v>1.0416519318023476</v>
      </c>
      <c r="AM357" s="2">
        <f>0.308348831315877*(8350/2783.333)</f>
        <v>0.92504660473165545</v>
      </c>
      <c r="AN357" s="2">
        <f>0.34533714586876*(8350/2783.333)</f>
        <v>1.0360115616795196</v>
      </c>
      <c r="AO357" s="2">
        <f>0.0961104027042619*(8350/2783.333)</f>
        <v>0.28833124264347343</v>
      </c>
      <c r="AP357" s="2">
        <f>0.101283989735534*(8350/2783.333)</f>
        <v>0.30385200559606318</v>
      </c>
      <c r="AQ357" s="2">
        <f>0.09892642966641*(8350/2783.333)</f>
        <v>0.29677932454166395</v>
      </c>
      <c r="AR357" s="2">
        <f>0.0940838854482909*(8350/2783.333)</f>
        <v>0.28225169014747037</v>
      </c>
      <c r="AS357" s="2">
        <f>0.15258335117972*(8350/2783.333)</f>
        <v>0.45775010835953317</v>
      </c>
      <c r="AT357" s="2">
        <f>0.188542822289818*(8350/2783.333)</f>
        <v>0.5656285346093971</v>
      </c>
      <c r="AU357" s="2">
        <f>0.156740802176225*(8350/2783.333)</f>
        <v>0.47022246284274238</v>
      </c>
      <c r="AV357" s="2">
        <f>0.0743498538242673*(8350/2783.333)</f>
        <v>0.22304958818532752</v>
      </c>
      <c r="AW357" s="2">
        <f>0.0794265561079682*(8350/2783.333)</f>
        <v>0.23827969686039516</v>
      </c>
    </row>
    <row r="358" spans="1:49" x14ac:dyDescent="0.25">
      <c r="A358" s="5">
        <v>45980</v>
      </c>
      <c r="B358" s="2">
        <f>0.271303706293085*(8350/2783.333)</f>
        <v>0.8139112163536536</v>
      </c>
      <c r="C358" s="2">
        <f>0.272006757566071*(8350/2783.333)</f>
        <v>0.81602037042520381</v>
      </c>
      <c r="D358" s="2">
        <f>0.223773566905307*(8350/2783.333)</f>
        <v>0.67132078111362026</v>
      </c>
      <c r="E358" s="2">
        <f>0.25805060376732*(8350/2783.333)</f>
        <v>0.77415190401476408</v>
      </c>
      <c r="F358" s="2">
        <f>0.222238076182695*(8350/2783.333)</f>
        <v>0.66671430839411017</v>
      </c>
      <c r="G358" s="2">
        <f>0.262959569226243*(8350/2783.333)</f>
        <v>0.78887880215523221</v>
      </c>
      <c r="H358" s="2">
        <f>0.251163819073217*(8350/2783.333)</f>
        <v>0.75349154745816049</v>
      </c>
      <c r="I358" s="2">
        <f>0.259088852019076*(8350/2783.333)</f>
        <v>0.77726664914305355</v>
      </c>
      <c r="J358" s="2">
        <f>0.204789993643645*(8350/2783.333)</f>
        <v>0.61437005450818816</v>
      </c>
      <c r="K358" s="2">
        <f>0.266080266451413*(8350/2783.333)</f>
        <v>0.7982408949519515</v>
      </c>
      <c r="L358" s="2">
        <f>0.274595521966722*(8350/2783.333)</f>
        <v>0.82378666455725225</v>
      </c>
      <c r="M358" s="2">
        <f>0.403986782792987*(8350/2783.333)</f>
        <v>1.2119604935239314</v>
      </c>
      <c r="N358" s="2">
        <f>0.470431490006645*(8350/2783.333)</f>
        <v>1.4112946390372576</v>
      </c>
      <c r="O358" s="2">
        <f>0.287698252620969*(8350/2783.333)</f>
        <v>0.86309486122756218</v>
      </c>
      <c r="P358" s="2">
        <f>0.65867183331818*(8350/2783.333)</f>
        <v>1.9760157366031319</v>
      </c>
      <c r="Q358" s="2">
        <f>1.21735508489055*(8350/2783.333)</f>
        <v>3.6520656920447929</v>
      </c>
      <c r="R358" s="2">
        <f>0.647225713689881*(8350/2783.333)</f>
        <v>1.941677373605855</v>
      </c>
      <c r="S358" s="2">
        <f>0.286591858177663*(8350/2783.333)</f>
        <v>0.85977567750013595</v>
      </c>
      <c r="T358" s="2">
        <f t="shared" si="85"/>
        <v>0.10069243236843764</v>
      </c>
      <c r="U358" s="2">
        <f t="shared" si="86"/>
        <v>0.11437794326585224</v>
      </c>
      <c r="V358" s="2">
        <f t="shared" si="87"/>
        <v>0.11043877033537902</v>
      </c>
      <c r="W358" s="2">
        <f t="shared" si="88"/>
        <v>0.10705744606724045</v>
      </c>
      <c r="X358" s="2">
        <f t="shared" si="89"/>
        <v>0.11728533803050227</v>
      </c>
      <c r="Y358" s="2">
        <f t="shared" si="90"/>
        <v>0.10928020503416074</v>
      </c>
      <c r="Z358" s="2">
        <f t="shared" si="91"/>
        <v>0.10579568013572224</v>
      </c>
      <c r="AA358" s="2">
        <f t="shared" si="92"/>
        <v>0.11798772791544039</v>
      </c>
      <c r="AB358" s="2">
        <f t="shared" si="93"/>
        <v>0.10026757173055721</v>
      </c>
      <c r="AC358" s="2">
        <f t="shared" si="94"/>
        <v>0.1151901624778385</v>
      </c>
      <c r="AD358" s="2">
        <f t="shared" si="95"/>
        <v>0.10227444344259566</v>
      </c>
      <c r="AE358" s="2">
        <f t="shared" si="96"/>
        <v>0.10987695088187602</v>
      </c>
      <c r="AF358" s="2">
        <f t="shared" si="97"/>
        <v>0.11908712371493149</v>
      </c>
      <c r="AG358" s="2">
        <f t="shared" si="98"/>
        <v>9.9235315312320327E-2</v>
      </c>
      <c r="AH358" s="2">
        <f t="shared" si="99"/>
        <v>0.1199891551819615</v>
      </c>
      <c r="AI358" s="2">
        <f t="shared" si="100"/>
        <v>0.10099811712417744</v>
      </c>
      <c r="AJ358" s="2">
        <f>0.241804499613148*(8350/2783.333)</f>
        <v>0.72541358571532133</v>
      </c>
      <c r="AK358" s="2">
        <f>0.30487177482986*(8350/2783.333)</f>
        <v>0.91461543402436318</v>
      </c>
      <c r="AL358" s="2">
        <f>0.308988877644215*(8350/2783.333)</f>
        <v>0.92696674394662637</v>
      </c>
      <c r="AM358" s="2">
        <f>0.186727856048736*(8350/2783.333)</f>
        <v>0.56018363523406789</v>
      </c>
      <c r="AN358" s="2">
        <f>0.235090125380082*(8350/2783.333)</f>
        <v>0.70527046060377385</v>
      </c>
      <c r="AO358" s="2">
        <f>0.0759630356777474*(8350/2783.333)</f>
        <v>0.22788913432535396</v>
      </c>
      <c r="AP358" s="2">
        <f>0.0927881287544282*(8350/2783.333)</f>
        <v>0.27836441960034092</v>
      </c>
      <c r="AQ358" s="2">
        <f>0.103838872235461*(8350/2783.333)</f>
        <v>0.31151665401376699</v>
      </c>
      <c r="AR358" s="2">
        <f>0.153539674169086*(8350/2783.333)</f>
        <v>0.46061907767121874</v>
      </c>
      <c r="AS358" s="2">
        <f>0.241335732477092*(8350/2783.333)</f>
        <v>0.72400728413873483</v>
      </c>
      <c r="AT358" s="2">
        <f>0.482669625061933*(8350/2783.333)</f>
        <v>1.448009048600057</v>
      </c>
      <c r="AU358" s="2">
        <f>0.0938786180230089*(8350/2783.333)</f>
        <v>0.28163588779787546</v>
      </c>
      <c r="AV358" s="2">
        <f>0.0947960636259409*(8350/2783.333)</f>
        <v>0.28438822493629268</v>
      </c>
      <c r="AW358" s="2">
        <f>0.0969905499244073*(8350/2783.333)</f>
        <v>0.29097168462013029</v>
      </c>
    </row>
    <row r="359" spans="1:49" x14ac:dyDescent="0.25">
      <c r="A359" s="5">
        <v>45981</v>
      </c>
      <c r="B359" s="2">
        <f>0.253559229805758*(8350/2783.333)</f>
        <v>0.76067778051640944</v>
      </c>
      <c r="C359" s="2">
        <f>0.273448489496633*(8350/2783.333)</f>
        <v>0.82034556673487802</v>
      </c>
      <c r="D359" s="2">
        <f>0.246463893619482*(8350/2783.333)</f>
        <v>0.73939176940835782</v>
      </c>
      <c r="E359" s="2">
        <f>0.29233380785849*(8350/2783.333)</f>
        <v>0.87700152860559399</v>
      </c>
      <c r="F359" s="2">
        <f>0.203099823576453*(8350/2783.333)</f>
        <v>0.60929954369936301</v>
      </c>
      <c r="G359" s="2">
        <f>0.26911898255947*(8350/2783.333)</f>
        <v>0.8073570443678767</v>
      </c>
      <c r="H359" s="2">
        <f>0.264533756210194*(8350/2783.333)</f>
        <v>0.79360136367266287</v>
      </c>
      <c r="I359" s="2">
        <f>0.249769109140692*(8350/2783.333)</f>
        <v>0.7493074171594909</v>
      </c>
      <c r="J359" s="2">
        <f>0.223803377966459*(8350/2783.333)</f>
        <v>0.67141021430778736</v>
      </c>
      <c r="K359" s="2">
        <f>0.302221090044223*(8350/2783.333)</f>
        <v>0.90666337871511071</v>
      </c>
      <c r="L359" s="2">
        <f>0.246303862127727*(8350/2783.333)</f>
        <v>0.73891167487559573</v>
      </c>
      <c r="M359" s="2">
        <f>0.241422853839212*(8350/2783.333)</f>
        <v>0.72426864825639536</v>
      </c>
      <c r="N359" s="2">
        <f>0.188330194491772*(8350/2783.333)</f>
        <v>0.56499065113886848</v>
      </c>
      <c r="O359" s="2">
        <f>0.260656119215343*(8350/2783.333)</f>
        <v>0.78196845129494497</v>
      </c>
      <c r="P359" s="2">
        <f>0.584097077320768*(8350/2783.333)</f>
        <v>1.7522914418175677</v>
      </c>
      <c r="Q359" s="2">
        <f>0.636269666608816*(8350/2783.333)</f>
        <v>1.9088092284263563</v>
      </c>
      <c r="R359" s="2">
        <f>0.76930163898619*(8350/2783.333)</f>
        <v>2.3079051933544008</v>
      </c>
      <c r="S359" s="2">
        <f>0.2862836948893*(8350/2783.333)</f>
        <v>0.85885118752432932</v>
      </c>
      <c r="T359" s="2">
        <f t="shared" si="85"/>
        <v>0.10069243236843764</v>
      </c>
      <c r="U359" s="2">
        <f t="shared" si="86"/>
        <v>0.11437794326585224</v>
      </c>
      <c r="V359" s="2">
        <f t="shared" si="87"/>
        <v>0.11043877033537902</v>
      </c>
      <c r="W359" s="2">
        <f t="shared" si="88"/>
        <v>0.10705744606724045</v>
      </c>
      <c r="X359" s="2">
        <f t="shared" si="89"/>
        <v>0.11728533803050227</v>
      </c>
      <c r="Y359" s="2">
        <f t="shared" si="90"/>
        <v>0.10928020503416074</v>
      </c>
      <c r="Z359" s="2">
        <f t="shared" si="91"/>
        <v>0.10579568013572224</v>
      </c>
      <c r="AA359" s="2">
        <f t="shared" si="92"/>
        <v>0.11798772791544039</v>
      </c>
      <c r="AB359" s="2">
        <f t="shared" si="93"/>
        <v>0.10026757173055721</v>
      </c>
      <c r="AC359" s="2">
        <f t="shared" si="94"/>
        <v>0.1151901624778385</v>
      </c>
      <c r="AD359" s="2">
        <f t="shared" si="95"/>
        <v>0.10227444344259566</v>
      </c>
      <c r="AE359" s="2">
        <f t="shared" si="96"/>
        <v>0.10987695088187602</v>
      </c>
      <c r="AF359" s="2">
        <f t="shared" si="97"/>
        <v>0.11908712371493149</v>
      </c>
      <c r="AG359" s="2">
        <f t="shared" si="98"/>
        <v>9.9235315312320327E-2</v>
      </c>
      <c r="AH359" s="2">
        <f t="shared" si="99"/>
        <v>0.1199891551819615</v>
      </c>
      <c r="AI359" s="2">
        <f t="shared" si="100"/>
        <v>0.10099811712417744</v>
      </c>
      <c r="AJ359" s="2">
        <f>0.176009419467627*(8350/2783.333)</f>
        <v>0.52802832163980451</v>
      </c>
      <c r="AK359" s="2">
        <f>0.456258447680479*(8350/2783.333)</f>
        <v>1.3687755069666474</v>
      </c>
      <c r="AL359" s="2">
        <f>0.531173438033962*(8350/2783.333)</f>
        <v>1.5935205049426653</v>
      </c>
      <c r="AM359" s="2">
        <f>0.545972421579666*(8350/2783.333)</f>
        <v>1.637917460896779</v>
      </c>
      <c r="AN359" s="2">
        <f>0.392852058924443*(8350/2783.333)</f>
        <v>1.1785563179177994</v>
      </c>
      <c r="AO359" s="2">
        <f>0.192220805408524*(8350/2783.333)</f>
        <v>0.57666248528694686</v>
      </c>
      <c r="AP359" s="2">
        <f>0.118608882716612*(8350/2783.333)</f>
        <v>0.35582669076381096</v>
      </c>
      <c r="AQ359" s="2">
        <f>0.109937076803938*(8350/2783.333)</f>
        <v>0.32981126991017118</v>
      </c>
      <c r="AR359" s="2">
        <f>0.128221961939077*(8350/2783.333)</f>
        <v>0.38466593188500731</v>
      </c>
      <c r="AS359" s="2">
        <f>0.191171343048143*(8350/2783.333)</f>
        <v>0.5735140978287514</v>
      </c>
      <c r="AT359" s="2">
        <f>0.171983843984364*(8350/2783.333)</f>
        <v>0.51595159374370203</v>
      </c>
      <c r="AU359" s="2">
        <f>0.0844244109076175*(8350/2783.333)</f>
        <v>0.25327326305497982</v>
      </c>
      <c r="AV359" s="2">
        <f>0.0758988091122729*(8350/2783.333)</f>
        <v>0.22769645460585516</v>
      </c>
      <c r="AW359" s="2">
        <f>0.0780276539455969*(8350/2783.333)</f>
        <v>0.23408298987068171</v>
      </c>
    </row>
    <row r="360" spans="1:49" x14ac:dyDescent="0.25">
      <c r="A360" s="5">
        <v>45982</v>
      </c>
      <c r="B360" s="2">
        <f>0.235347793410869*(8350/2783.333)</f>
        <v>0.70604346478871172</v>
      </c>
      <c r="C360" s="2">
        <f>0.269123293704946*(8350/2783.333)</f>
        <v>0.80736997780585473</v>
      </c>
      <c r="D360" s="2">
        <f>0.213993253666439*(8350/2783.333)</f>
        <v>0.64197983788312996</v>
      </c>
      <c r="E360" s="2">
        <f>0.256660744142003*(8350/2783.333)</f>
        <v>0.76998232463945981</v>
      </c>
      <c r="F360" s="2">
        <f>0.212864238171474*(8350/2783.333)</f>
        <v>0.63859279099260147</v>
      </c>
      <c r="G360" s="2">
        <f>0.244955130252194*(8350/2783.333)</f>
        <v>0.7348654787644231</v>
      </c>
      <c r="H360" s="2">
        <f>0.255938796622138*(8350/2783.333)</f>
        <v>0.76781648182048245</v>
      </c>
      <c r="I360" s="2">
        <f>0.26281674917043*(8350/2783.333)</f>
        <v>0.78845034193647923</v>
      </c>
      <c r="J360" s="2">
        <f>0.218257807538972*(8350/2783.333)</f>
        <v>0.65477350103290444</v>
      </c>
      <c r="K360" s="2">
        <f>0.264508926295204*(8350/2783.333)</f>
        <v>0.79352687391877119</v>
      </c>
      <c r="L360" s="2">
        <f>0.268354714649297*(8350/2783.333)</f>
        <v>0.80506424036276891</v>
      </c>
      <c r="M360" s="2">
        <f>0.430860494625454*(8350/2783.333)</f>
        <v>1.2925816386765594</v>
      </c>
      <c r="N360" s="2">
        <f>0.239155707231184*(8350/2783.333)</f>
        <v>0.7174672076177685</v>
      </c>
      <c r="O360" s="2">
        <f>0.244881541395394*(8350/2783.333)</f>
        <v>0.73464471216758553</v>
      </c>
      <c r="P360" s="2">
        <f>0.574182514384696*(8350/2783.333)</f>
        <v>1.7225477494472328</v>
      </c>
      <c r="Q360" s="2">
        <f>0.41694765402683*(8350/2783.333)</f>
        <v>1.2508431118820602</v>
      </c>
      <c r="R360" s="2">
        <f>0.637921146213028*(8350/2783.333)</f>
        <v>1.913763667832338</v>
      </c>
      <c r="S360" s="2">
        <f>0.267639815943334*(8350/2783.333)</f>
        <v>0.80291954398803</v>
      </c>
      <c r="T360" s="2">
        <f t="shared" si="85"/>
        <v>0.10069243236843764</v>
      </c>
      <c r="U360" s="2">
        <f t="shared" si="86"/>
        <v>0.11437794326585224</v>
      </c>
      <c r="V360" s="2">
        <f t="shared" si="87"/>
        <v>0.11043877033537902</v>
      </c>
      <c r="W360" s="2">
        <f t="shared" si="88"/>
        <v>0.10705744606724045</v>
      </c>
      <c r="X360" s="2">
        <f t="shared" si="89"/>
        <v>0.11728533803050227</v>
      </c>
      <c r="Y360" s="2">
        <f t="shared" si="90"/>
        <v>0.10928020503416074</v>
      </c>
      <c r="Z360" s="2">
        <f t="shared" si="91"/>
        <v>0.10579568013572224</v>
      </c>
      <c r="AA360" s="2">
        <f t="shared" si="92"/>
        <v>0.11798772791544039</v>
      </c>
      <c r="AB360" s="2">
        <f t="shared" si="93"/>
        <v>0.10026757173055721</v>
      </c>
      <c r="AC360" s="2">
        <f t="shared" si="94"/>
        <v>0.1151901624778385</v>
      </c>
      <c r="AD360" s="2">
        <f t="shared" si="95"/>
        <v>0.10227444344259566</v>
      </c>
      <c r="AE360" s="2">
        <f t="shared" si="96"/>
        <v>0.10987695088187602</v>
      </c>
      <c r="AF360" s="2">
        <f t="shared" si="97"/>
        <v>0.11908712371493149</v>
      </c>
      <c r="AG360" s="2">
        <f t="shared" si="98"/>
        <v>9.9235315312320327E-2</v>
      </c>
      <c r="AH360" s="2">
        <f t="shared" si="99"/>
        <v>0.1199891551819615</v>
      </c>
      <c r="AI360" s="2">
        <f t="shared" si="100"/>
        <v>0.10099811712417744</v>
      </c>
      <c r="AJ360" s="2">
        <f>0.306993173490047*(8350/2783.333)</f>
        <v>0.92097963076710165</v>
      </c>
      <c r="AK360" s="2">
        <f>0.332451129091755*(8350/2783.333)</f>
        <v>0.99735350671879841</v>
      </c>
      <c r="AL360" s="2">
        <f>0.394068605814157*(8350/2783.333)</f>
        <v>1.1822059590240228</v>
      </c>
      <c r="AM360" s="2">
        <f>0.506974391466833*(8350/2783.333)</f>
        <v>1.5209233565470093</v>
      </c>
      <c r="AN360" s="2">
        <f>0.385398739229434*(8350/2783.333)</f>
        <v>1.1561963561549318</v>
      </c>
      <c r="AO360" s="2">
        <f>0.199235073928866*(8350/2783.333)</f>
        <v>0.59770529336806999</v>
      </c>
      <c r="AP360" s="2">
        <f>0.189241138716392*(8350/2783.333)</f>
        <v>0.56772348414001339</v>
      </c>
      <c r="AQ360" s="2">
        <f>0.185995239338558*(8350/2783.333)</f>
        <v>0.55798578484032013</v>
      </c>
      <c r="AR360" s="2">
        <f>0.191924592711357*(8350/2783.333)</f>
        <v>0.5757738470890239</v>
      </c>
      <c r="AS360" s="2">
        <f>0.156602933666014*(8350/2783.333)</f>
        <v>0.46980885726257637</v>
      </c>
      <c r="AT360" s="2">
        <f>0.121323207386491*(8350/2783.333)</f>
        <v>0.36396966574865569</v>
      </c>
      <c r="AU360" s="2">
        <f>0.134183395725467*(8350/2783.333)</f>
        <v>0.40255023538600943</v>
      </c>
      <c r="AV360" s="2">
        <f>0.110130720977196*(8350/2783.333)</f>
        <v>0.33039220249951645</v>
      </c>
      <c r="AW360" s="2">
        <f>0.0901514726861478*(8350/2783.333)</f>
        <v>0.27045445044819805</v>
      </c>
    </row>
    <row r="361" spans="1:49" x14ac:dyDescent="0.25">
      <c r="A361" s="5">
        <v>45983</v>
      </c>
      <c r="B361" s="2">
        <f>0.263365387864544*(8350/2783.333)</f>
        <v>0.79009625821593921</v>
      </c>
      <c r="C361" s="2">
        <f>0.237885768542765*(8350/2783.333)</f>
        <v>0.7136573910962466</v>
      </c>
      <c r="D361" s="2">
        <f>0.173307150592747*(8350/2783.333)</f>
        <v>0.51992151404428932</v>
      </c>
      <c r="E361" s="2">
        <f>0.197360066795114*(8350/2783.333)</f>
        <v>0.59208027129315854</v>
      </c>
      <c r="F361" s="2">
        <f>0.151153137930937*(8350/2783.333)</f>
        <v>0.45345946809933352</v>
      </c>
      <c r="G361" s="2">
        <f>0.191889415381312*(8350/2783.333)</f>
        <v>0.5756683150862506</v>
      </c>
      <c r="H361" s="2">
        <f>0.176674169310058*(8350/2783.333)</f>
        <v>0.5300225714059299</v>
      </c>
      <c r="I361" s="2">
        <f>0.207364279044045*(8350/2783.333)</f>
        <v>0.62209291163427893</v>
      </c>
      <c r="J361" s="2">
        <f>0.172308795425504*(8350/2783.333)</f>
        <v>0.51692644818387201</v>
      </c>
      <c r="K361" s="2">
        <f>0.230463222910673*(8350/2783.333)</f>
        <v>0.69138975153318649</v>
      </c>
      <c r="L361" s="2">
        <f>0.26419417643768*(8350/2783.333)</f>
        <v>0.79258262423311365</v>
      </c>
      <c r="M361" s="2">
        <f>0.406189546057944*(8350/2783.333)</f>
        <v>1.2185687841102122</v>
      </c>
      <c r="N361" s="2">
        <f>0.353020615616377*(8350/2783.333)</f>
        <v>1.0590619736828999</v>
      </c>
      <c r="O361" s="2">
        <f>0.29746346746189*(8350/2783.333)</f>
        <v>0.89239050925878527</v>
      </c>
      <c r="P361" s="2">
        <f>0.781526200134726*(8350/2783.333)</f>
        <v>2.3445788811920667</v>
      </c>
      <c r="Q361" s="2">
        <f>0.656079396777512*(8350/2783.333)</f>
        <v>1.9682384260497121</v>
      </c>
      <c r="R361" s="2">
        <f>0.833689245926011*(8350/2783.333)</f>
        <v>2.5010680373071397</v>
      </c>
      <c r="S361" s="2">
        <f>0.359934720808076*(8350/2783.333)</f>
        <v>1.079804291742106</v>
      </c>
      <c r="T361" s="2">
        <f t="shared" si="85"/>
        <v>0.10069243236843764</v>
      </c>
      <c r="U361" s="2">
        <f t="shared" si="86"/>
        <v>0.11437794326585224</v>
      </c>
      <c r="V361" s="2">
        <f t="shared" si="87"/>
        <v>0.11043877033537902</v>
      </c>
      <c r="W361" s="2">
        <f t="shared" si="88"/>
        <v>0.10705744606724045</v>
      </c>
      <c r="X361" s="2">
        <f t="shared" si="89"/>
        <v>0.11728533803050227</v>
      </c>
      <c r="Y361" s="2">
        <f t="shared" si="90"/>
        <v>0.10928020503416074</v>
      </c>
      <c r="Z361" s="2">
        <f t="shared" si="91"/>
        <v>0.10579568013572224</v>
      </c>
      <c r="AA361" s="2">
        <f t="shared" si="92"/>
        <v>0.11798772791544039</v>
      </c>
      <c r="AB361" s="2">
        <f t="shared" si="93"/>
        <v>0.10026757173055721</v>
      </c>
      <c r="AC361" s="2">
        <f t="shared" si="94"/>
        <v>0.1151901624778385</v>
      </c>
      <c r="AD361" s="2">
        <f t="shared" si="95"/>
        <v>0.10227444344259566</v>
      </c>
      <c r="AE361" s="2">
        <f t="shared" si="96"/>
        <v>0.10987695088187602</v>
      </c>
      <c r="AF361" s="2">
        <f t="shared" si="97"/>
        <v>0.11908712371493149</v>
      </c>
      <c r="AG361" s="2">
        <f t="shared" si="98"/>
        <v>9.9235315312320327E-2</v>
      </c>
      <c r="AH361" s="2">
        <f t="shared" si="99"/>
        <v>0.1199891551819615</v>
      </c>
      <c r="AI361" s="2">
        <f t="shared" si="100"/>
        <v>0.10099811712417744</v>
      </c>
      <c r="AJ361" s="2">
        <f>0.0842904713385016*(8350/2783.333)</f>
        <v>0.2528714442995102</v>
      </c>
      <c r="AK361" s="2">
        <f>0.431377073726813*(8350/2783.333)</f>
        <v>1.2941313761662325</v>
      </c>
      <c r="AL361" s="2">
        <f>0.441494805638618*(8350/2783.333)</f>
        <v>1.3244845755367602</v>
      </c>
      <c r="AM361" s="2">
        <f>0.398903579204999*(8350/2783.333)</f>
        <v>1.196710880933664</v>
      </c>
      <c r="AN361" s="2">
        <f>0.444404186814924*(8350/2783.333)</f>
        <v>1.3332127201109651</v>
      </c>
      <c r="AO361" s="2">
        <f>0.185654256155438*(8350/2783.333)</f>
        <v>0.55696283516844869</v>
      </c>
      <c r="AP361" s="2">
        <f>0.19540480256543*(8350/2783.333)</f>
        <v>0.58621447790161552</v>
      </c>
      <c r="AQ361" s="2">
        <f>0.196497702762047*(8350/2783.333)</f>
        <v>0.58949317888412678</v>
      </c>
      <c r="AR361" s="2">
        <f>0.173957184031996*(8350/2783.333)</f>
        <v>0.52187161459558284</v>
      </c>
      <c r="AS361" s="2">
        <f>0.248570980952421*(8350/2783.333)</f>
        <v>0.74571303216421359</v>
      </c>
      <c r="AT361" s="2">
        <f>0.19444503237889*(8350/2783.333)</f>
        <v>0.58333516699716959</v>
      </c>
      <c r="AU361" s="2">
        <f>0.208987736234967*(8350/2783.333)</f>
        <v>0.62696328379032329</v>
      </c>
      <c r="AV361" s="2">
        <f>0.179988604466247*(8350/2783.333)</f>
        <v>0.53996587806531349</v>
      </c>
      <c r="AW361" s="2">
        <f>0.0979231513659882*(8350/2783.333)</f>
        <v>0.29376948927993923</v>
      </c>
    </row>
    <row r="362" spans="1:49" x14ac:dyDescent="0.25">
      <c r="A362" s="5">
        <v>45984</v>
      </c>
      <c r="B362" s="2">
        <f>0.281576824259433*(8350/2783.333)</f>
        <v>0.84473057394363715</v>
      </c>
      <c r="C362" s="2">
        <f>0.289307540732817*(8350/2783.333)</f>
        <v>0.86792272614129362</v>
      </c>
      <c r="D362" s="2">
        <f>0.233162667614621*(8350/2783.333)</f>
        <v>0.6994880866148907</v>
      </c>
      <c r="E362" s="2">
        <f>0.273339059645815*(8350/2783.333)</f>
        <v>0.82001727714310724</v>
      </c>
      <c r="F362" s="2">
        <f>0.215598274258081*(8350/2783.333)</f>
        <v>0.64679490023470865</v>
      </c>
      <c r="G362" s="2">
        <f>0.240690921021498*(8350/2783.333)</f>
        <v>0.72207284954028472</v>
      </c>
      <c r="H362" s="2">
        <f>0.222036456024802*(8350/2783.333)</f>
        <v>0.66610944784799342</v>
      </c>
      <c r="I362" s="2">
        <f>0.219479944785944*(8350/2783.333)</f>
        <v>0.65843991321291084</v>
      </c>
      <c r="J362" s="2">
        <f>0.186568833667615*(8350/2783.333)</f>
        <v>0.55970656803357177</v>
      </c>
      <c r="K362" s="2">
        <f>0.238843703743788*(8350/2783.333)</f>
        <v>0.71653119704348467</v>
      </c>
      <c r="L362" s="2">
        <f>0.27168314521859*(8350/2783.333)</f>
        <v>0.81504953326649321</v>
      </c>
      <c r="M362" s="2">
        <f>0.432182152584428*(8350/2783.333)</f>
        <v>1.2965466130283281</v>
      </c>
      <c r="N362" s="2">
        <f>0.308105046218758*(8350/2783.333)</f>
        <v>0.92431524935270992</v>
      </c>
      <c r="O362" s="2">
        <f>0.278684208152427*(8350/2783.333)</f>
        <v>0.83605272458335667</v>
      </c>
      <c r="P362" s="2">
        <f>0.368132032495894*(8350/2783.333)</f>
        <v>1.1043962297507031</v>
      </c>
      <c r="Q362" s="2">
        <f>0.213190429434533*(8350/2783.333)</f>
        <v>0.63957136489897226</v>
      </c>
      <c r="R362" s="2">
        <f>0.246012764087988*(8350/2783.333)</f>
        <v>0.73803838065179439</v>
      </c>
      <c r="S362" s="2">
        <f>0.308933696583986*(8350/2783.333)</f>
        <v>0.92680120074611427</v>
      </c>
      <c r="T362" s="2">
        <f t="shared" si="85"/>
        <v>0.10069243236843764</v>
      </c>
      <c r="U362" s="2">
        <f t="shared" si="86"/>
        <v>0.11437794326585224</v>
      </c>
      <c r="V362" s="2">
        <f t="shared" si="87"/>
        <v>0.11043877033537902</v>
      </c>
      <c r="W362" s="2">
        <f t="shared" si="88"/>
        <v>0.10705744606724045</v>
      </c>
      <c r="X362" s="2">
        <f t="shared" si="89"/>
        <v>0.11728533803050227</v>
      </c>
      <c r="Y362" s="2">
        <f t="shared" si="90"/>
        <v>0.10928020503416074</v>
      </c>
      <c r="Z362" s="2">
        <f t="shared" si="91"/>
        <v>0.10579568013572224</v>
      </c>
      <c r="AA362" s="2">
        <f t="shared" si="92"/>
        <v>0.11798772791544039</v>
      </c>
      <c r="AB362" s="2">
        <f t="shared" si="93"/>
        <v>0.10026757173055721</v>
      </c>
      <c r="AC362" s="2">
        <f t="shared" si="94"/>
        <v>0.1151901624778385</v>
      </c>
      <c r="AD362" s="2">
        <f t="shared" si="95"/>
        <v>0.10227444344259566</v>
      </c>
      <c r="AE362" s="2">
        <f t="shared" si="96"/>
        <v>0.10987695088187602</v>
      </c>
      <c r="AF362" s="2">
        <f t="shared" si="97"/>
        <v>0.11908712371493149</v>
      </c>
      <c r="AG362" s="2">
        <f t="shared" si="98"/>
        <v>9.9235315312320327E-2</v>
      </c>
      <c r="AH362" s="2">
        <f t="shared" si="99"/>
        <v>0.1199891551819615</v>
      </c>
      <c r="AI362" s="2">
        <f t="shared" si="100"/>
        <v>0.10099811712417744</v>
      </c>
      <c r="AJ362" s="2">
        <f>0.094599377905081*(8350/2783.333)</f>
        <v>0.28379816770304744</v>
      </c>
      <c r="AK362" s="2">
        <f>0.241019574201777*(8350/2783.333)</f>
        <v>0.72305880919920151</v>
      </c>
      <c r="AL362" s="2">
        <f>0.23885558820683*(8350/2783.333)</f>
        <v>0.71656685043688018</v>
      </c>
      <c r="AM362" s="2">
        <f>0.271333751886747*(8350/2783.333)</f>
        <v>0.8140013531454332</v>
      </c>
      <c r="AN362" s="2">
        <f>0.280120598537429*(8350/2783.333)</f>
        <v>0.84036189625443092</v>
      </c>
      <c r="AO362" s="2">
        <f>0.128346189946685*(8350/2783.333)</f>
        <v>0.38503861595246436</v>
      </c>
      <c r="AP362" s="2">
        <f>0.220059457961579*(8350/2783.333)</f>
        <v>0.66017845294802602</v>
      </c>
      <c r="AQ362" s="2">
        <f>0.209879873898428*(8350/2783.333)</f>
        <v>0.62963969710123568</v>
      </c>
      <c r="AR362" s="2">
        <f>0.242396677092472*(8350/2783.333)</f>
        <v>0.72719011836605241</v>
      </c>
      <c r="AS362" s="2">
        <f>0.221237820045622*(8350/2783.333)</f>
        <v>0.66371353962351709</v>
      </c>
      <c r="AT362" s="2">
        <f>0.505950564857719*(8350/2783.333)</f>
        <v>1.5178518763518256</v>
      </c>
      <c r="AU362" s="2">
        <f>0.279977221241765*(8350/2783.333)</f>
        <v>0.83993176431592509</v>
      </c>
      <c r="AV362" s="2">
        <f>0.0929373172803342*(8350/2783.333)</f>
        <v>0.2788119852316594</v>
      </c>
      <c r="AW362" s="2">
        <f>0.0857993326254372*(8350/2783.333)</f>
        <v>0.25739802870242295</v>
      </c>
    </row>
    <row r="363" spans="1:49" x14ac:dyDescent="0.25">
      <c r="A363" s="5">
        <v>45985</v>
      </c>
      <c r="B363" s="2">
        <f>0.279242024721627*(8350/2783.333)</f>
        <v>0.83772617449136799</v>
      </c>
      <c r="C363" s="2">
        <f>0.246536160126138*(8350/2783.333)</f>
        <v>0.73960856895429195</v>
      </c>
      <c r="D363" s="2">
        <f>0.188173226715827*(8350/2783.333)</f>
        <v>0.5645197477546352</v>
      </c>
      <c r="E363" s="2">
        <f>0.236739422845782*(8350/2783.333)</f>
        <v>0.71021835359343655</v>
      </c>
      <c r="F363" s="2">
        <f>0.184352147554011*(8350/2783.333)</f>
        <v>0.5530565088963445</v>
      </c>
      <c r="G363" s="2">
        <f>0.225529288201246*(8350/2783.333)</f>
        <v>0.67658794563223512</v>
      </c>
      <c r="H363" s="2">
        <f>0.226811433573723*(8350/2783.333)</f>
        <v>0.6804343822103156</v>
      </c>
      <c r="I363" s="2">
        <f>0.22134389336162*(8350/2783.333)</f>
        <v>0.6640317596096228</v>
      </c>
      <c r="J363" s="2">
        <f>0.194094964962062*(8350/2783.333)</f>
        <v>0.5822849646209135</v>
      </c>
      <c r="K363" s="2">
        <f>0.249319304785182*(8350/2783.333)</f>
        <v>0.74795800393135636</v>
      </c>
      <c r="L363" s="2">
        <f>0.262946014974195*(8350/2783.333)</f>
        <v>0.78883813939421699</v>
      </c>
      <c r="M363" s="2">
        <f>0.566110159093772*(8350/2783.333)</f>
        <v>1.6983306806742113</v>
      </c>
      <c r="N363" s="2">
        <f>0.384146317216482*(8350/2783.333)</f>
        <v>1.1524390896661023</v>
      </c>
      <c r="O363" s="2">
        <f>0.898399765364698*(8350/2783.333)</f>
        <v>2.6951996188724916</v>
      </c>
      <c r="P363" s="2">
        <f>1.02766600172156*(8350/2783.333)</f>
        <v>3.0829983743860394</v>
      </c>
      <c r="Q363" s="2">
        <f>0.890022876864964*(8350/2783.333)</f>
        <v>2.6700689503636283</v>
      </c>
      <c r="R363" s="2">
        <f>0.5448754714445*(8350/2783.333)</f>
        <v>1.6346266100971663</v>
      </c>
      <c r="S363" s="2">
        <f>0.296915328337826*(8350/2783.333)</f>
        <v>0.8907460916896569</v>
      </c>
      <c r="T363" s="2">
        <f t="shared" si="85"/>
        <v>0.10069243236843764</v>
      </c>
      <c r="U363" s="2">
        <f t="shared" si="86"/>
        <v>0.11437794326585224</v>
      </c>
      <c r="V363" s="2">
        <f t="shared" si="87"/>
        <v>0.11043877033537902</v>
      </c>
      <c r="W363" s="2">
        <f t="shared" si="88"/>
        <v>0.10705744606724045</v>
      </c>
      <c r="X363" s="2">
        <f t="shared" si="89"/>
        <v>0.11728533803050227</v>
      </c>
      <c r="Y363" s="2">
        <f t="shared" si="90"/>
        <v>0.10928020503416074</v>
      </c>
      <c r="Z363" s="2">
        <f t="shared" si="91"/>
        <v>0.10579568013572224</v>
      </c>
      <c r="AA363" s="2">
        <f t="shared" si="92"/>
        <v>0.11798772791544039</v>
      </c>
      <c r="AB363" s="2">
        <f t="shared" si="93"/>
        <v>0.10026757173055721</v>
      </c>
      <c r="AC363" s="2">
        <f t="shared" si="94"/>
        <v>0.1151901624778385</v>
      </c>
      <c r="AD363" s="2">
        <f t="shared" si="95"/>
        <v>0.10227444344259566</v>
      </c>
      <c r="AE363" s="2">
        <f t="shared" si="96"/>
        <v>0.10987695088187602</v>
      </c>
      <c r="AF363" s="2">
        <f t="shared" si="97"/>
        <v>0.11908712371493149</v>
      </c>
      <c r="AG363" s="2">
        <f t="shared" si="98"/>
        <v>9.9235315312320327E-2</v>
      </c>
      <c r="AH363" s="2">
        <f t="shared" si="99"/>
        <v>0.1199891551819615</v>
      </c>
      <c r="AI363" s="2">
        <f t="shared" si="100"/>
        <v>0.10099811712417744</v>
      </c>
      <c r="AJ363" s="2">
        <f>0.177980239840649*(8350/2783.333)</f>
        <v>0.53394078346695162</v>
      </c>
      <c r="AK363" s="2">
        <f>0.32165920785884*(8350/2783.333)</f>
        <v>0.96497773914271545</v>
      </c>
      <c r="AL363" s="2">
        <f>0.338019460567067*(8350/2783.333)</f>
        <v>1.0140585031453324</v>
      </c>
      <c r="AM363" s="2">
        <f>0.235640639580086*(8350/2783.333)</f>
        <v>0.70692200340157574</v>
      </c>
      <c r="AN363" s="2">
        <f>0.227015695710489*(8350/2783.333)</f>
        <v>0.68104716869400128</v>
      </c>
      <c r="AO363" s="2">
        <f>0.125062915320142*(8350/2783.333)</f>
        <v>0.37518879089321505</v>
      </c>
      <c r="AP363" s="2">
        <f>0.225723365282316*(8350/2783.333)</f>
        <v>0.67717017694517367</v>
      </c>
      <c r="AQ363" s="2">
        <f>0.215639289324212*(8350/2783.333)</f>
        <v>0.64691794544783943</v>
      </c>
      <c r="AR363" s="2">
        <f>0.17265046340077*(8350/2783.333)</f>
        <v>0.51795145223242367</v>
      </c>
      <c r="AS363" s="2">
        <f>0.192939959342112*(8350/2783.333)</f>
        <v>0.57881994734609077</v>
      </c>
      <c r="AT363" s="2">
        <f>0.175918650710412*(8350/2783.333)</f>
        <v>0.52775601533555005</v>
      </c>
      <c r="AU363" s="2">
        <f>0.18593273993603*(8350/2783.333)</f>
        <v>0.55779828661027975</v>
      </c>
      <c r="AV363" s="2">
        <f>0.128873079962063*(8350/2783.333)</f>
        <v>0.38661928618790081</v>
      </c>
      <c r="AW363" s="2">
        <f>0.0887525705237766*(8350/2783.333)</f>
        <v>0.26625774345848457</v>
      </c>
    </row>
    <row r="364" spans="1:49" x14ac:dyDescent="0.25">
      <c r="A364" s="5">
        <v>45986</v>
      </c>
      <c r="B364" s="2">
        <f>0.261030588326738*(8350/2783.333)</f>
        <v>0.78309185876367005</v>
      </c>
      <c r="C364" s="2">
        <f>0.258550592880824*(8350/2783.333)</f>
        <v>0.77565187153491122</v>
      </c>
      <c r="D364" s="2">
        <f>0.21164597848911*(8350/2783.333)</f>
        <v>0.63493801150781193</v>
      </c>
      <c r="E364" s="2">
        <f>0.253417738349595*(8350/2783.333)</f>
        <v>0.76025330609708386</v>
      </c>
      <c r="F364" s="2">
        <f>0.189820219727223*(8350/2783.333)</f>
        <v>0.56946072738055842</v>
      </c>
      <c r="G364" s="2">
        <f>0.488488857427489*(8350/2783.333)</f>
        <v>1.465466747787467</v>
      </c>
      <c r="H364" s="2">
        <f>0.38247570166853*(8350/2783.333)</f>
        <v>1.1474272424220273</v>
      </c>
      <c r="I364" s="2">
        <f>0.398884995194836*(8350/2783.333)</f>
        <v>1.1966551288965002</v>
      </c>
      <c r="J364" s="2">
        <f>0.339468132596913*(8350/2783.333)</f>
        <v>1.0184045197553531</v>
      </c>
      <c r="K364" s="2">
        <f>0.292269269054899*(8350/2783.333)</f>
        <v>0.87680791217163201</v>
      </c>
      <c r="L364" s="2">
        <f>0.296646374488292*(8350/2783.333)</f>
        <v>0.88993923004442499</v>
      </c>
      <c r="M364" s="2">
        <f>0.467426364823729*(8350/2783.333)</f>
        <v>1.4022792624088236</v>
      </c>
      <c r="N364" s="2">
        <f>0.359324555180955*(8350/2783.333)</f>
        <v>1.0779737946415233</v>
      </c>
      <c r="O364" s="2">
        <f>0.669668386975442*(8350/2783.333)</f>
        <v>2.0090054015257746</v>
      </c>
      <c r="P364" s="2">
        <f>0.958264061169054*(8350/2783.333)</f>
        <v>2.8747925277936925</v>
      </c>
      <c r="Q364" s="2">
        <f>1.14613438833167*(8350/2783.333)</f>
        <v>3.4384035767798693</v>
      </c>
      <c r="R364" s="2">
        <f>0.407540055486153*(8350/2783.333)</f>
        <v>1.2226203128800524</v>
      </c>
      <c r="S364" s="2">
        <f>0.14714797019337*(8350/2783.333)</f>
        <v>0.44144396344765052</v>
      </c>
      <c r="T364" s="2">
        <f t="shared" si="85"/>
        <v>0.10069243236843764</v>
      </c>
      <c r="U364" s="2">
        <f t="shared" si="86"/>
        <v>0.11437794326585224</v>
      </c>
      <c r="V364" s="2">
        <f t="shared" si="87"/>
        <v>0.11043877033537902</v>
      </c>
      <c r="W364" s="2">
        <f t="shared" si="88"/>
        <v>0.10705744606724045</v>
      </c>
      <c r="X364" s="2">
        <f t="shared" si="89"/>
        <v>0.11728533803050227</v>
      </c>
      <c r="Y364" s="2">
        <f t="shared" si="90"/>
        <v>0.10928020503416074</v>
      </c>
      <c r="Z364" s="2">
        <f t="shared" si="91"/>
        <v>0.10579568013572224</v>
      </c>
      <c r="AA364" s="2">
        <f t="shared" si="92"/>
        <v>0.11798772791544039</v>
      </c>
      <c r="AB364" s="2">
        <f t="shared" si="93"/>
        <v>0.10026757173055721</v>
      </c>
      <c r="AC364" s="2">
        <f t="shared" si="94"/>
        <v>0.1151901624778385</v>
      </c>
      <c r="AD364" s="2">
        <f t="shared" si="95"/>
        <v>0.10227444344259566</v>
      </c>
      <c r="AE364" s="2">
        <f t="shared" si="96"/>
        <v>0.10987695088187602</v>
      </c>
      <c r="AF364" s="2">
        <f t="shared" si="97"/>
        <v>0.11908712371493149</v>
      </c>
      <c r="AG364" s="2">
        <f t="shared" si="98"/>
        <v>9.9235315312320327E-2</v>
      </c>
      <c r="AH364" s="2">
        <f t="shared" si="99"/>
        <v>0.1199891551819615</v>
      </c>
      <c r="AI364" s="2">
        <f t="shared" si="100"/>
        <v>0.10099811712417744</v>
      </c>
      <c r="AJ364" s="2">
        <f>0.223309108420167*(8350/2783.333)</f>
        <v>0.66992740549132868</v>
      </c>
      <c r="AK364" s="2">
        <f>0.389408491154364*(8350/2783.333)</f>
        <v>1.1682256133703517</v>
      </c>
      <c r="AL364" s="2">
        <f>0.36561288591948*(8350/2783.333)</f>
        <v>1.09683878911638</v>
      </c>
      <c r="AM364" s="2">
        <f>0.26141899846823*(8350/2783.333)</f>
        <v>0.78425708932769489</v>
      </c>
      <c r="AN364" s="2">
        <f>0.335709941262706*(8350/2783.333)</f>
        <v>1.0071299444024826</v>
      </c>
      <c r="AO364" s="2">
        <f>0.143717884789137*(8350/2783.333)</f>
        <v>0.43115370600258535</v>
      </c>
      <c r="AP364" s="2">
        <f>0.224057510187982*(8350/2783.333)</f>
        <v>0.67217261106365989</v>
      </c>
      <c r="AQ364" s="2">
        <f>0.206830771614189*(8350/2783.333)</f>
        <v>0.62049238915303395</v>
      </c>
      <c r="AR364" s="2">
        <f>0.256770604035961*(8350/2783.333)</f>
        <v>0.77031190436080443</v>
      </c>
      <c r="AS364" s="2">
        <f>0.230080901515469*(8350/2783.333)</f>
        <v>0.69024278721021259</v>
      </c>
      <c r="AT364" s="2">
        <f>0.13345552812514*(8350/2783.333)</f>
        <v>0.40036663232352115</v>
      </c>
      <c r="AU364" s="2">
        <f>0.133685805877288*(8350/2783.333)</f>
        <v>0.40105746566269884</v>
      </c>
      <c r="AV364" s="2">
        <f>0.101921257950766*(8350/2783.333)</f>
        <v>0.30576381047071988</v>
      </c>
      <c r="AW364" s="2">
        <f>0.0744526817528704*(8350/2783.333)</f>
        <v>0.2233580720080808</v>
      </c>
    </row>
    <row r="365" spans="1:49" x14ac:dyDescent="0.25">
      <c r="A365" s="5">
        <v>45987</v>
      </c>
      <c r="B365" s="2">
        <f>0.223206835814277*(8350/2783.333)</f>
        <v>0.66962058763691301</v>
      </c>
      <c r="C365" s="2">
        <f>0.217220944204707*(8350/2783.333)</f>
        <v>0.65166291065758297</v>
      </c>
      <c r="D365" s="2">
        <f>0.180740188654287*(8350/2783.333)</f>
        <v>0.54222063089946226</v>
      </c>
      <c r="E365" s="2">
        <f>0.217281388091334*(8350/2783.333)</f>
        <v>0.65184424233918159</v>
      </c>
      <c r="F365" s="2">
        <f>0.176150039294192*(8350/2783.333)</f>
        <v>0.52845018117002407</v>
      </c>
      <c r="G365" s="2">
        <f>0.222212681021816*(8350/2783.333)</f>
        <v>0.66663812290234892</v>
      </c>
      <c r="H365" s="2">
        <f>0.218693971740558*(8350/2783.333)</f>
        <v>0.65608199379436782</v>
      </c>
      <c r="I365" s="2">
        <f>0.21016020190756*(8350/2783.333)</f>
        <v>0.63048068122934775</v>
      </c>
      <c r="J365" s="2">
        <f>0.167555449344801*(8350/2783.333)</f>
        <v>0.50266640823397202</v>
      </c>
      <c r="K365" s="2">
        <f>0.206369340515466*(8350/2783.333)</f>
        <v>0.61910809569108072</v>
      </c>
      <c r="L365" s="2">
        <f>0.262529961153033*(8350/2783.333)</f>
        <v>0.78758997778125106</v>
      </c>
      <c r="M365" s="2">
        <f>0.552453026851043*(8350/2783.333)</f>
        <v>1.6573592790392693</v>
      </c>
      <c r="N365" s="2">
        <f>0.330956827140353*(8350/2783.333)</f>
        <v>0.99287060032771823</v>
      </c>
      <c r="O365" s="2">
        <f>0.643753009128383*(8350/2783.333)</f>
        <v>1.9312592586736832</v>
      </c>
      <c r="P365" s="2">
        <f>0.43020581783478*(8350/2783.333)</f>
        <v>1.2906176080693235</v>
      </c>
      <c r="Q365" s="2">
        <f>0.777767739242356*(8350/2783.333)</f>
        <v>2.3333034971646121</v>
      </c>
      <c r="R365" s="2">
        <f>0.800937168407489*(8350/2783.333)</f>
        <v>2.4028117929843589</v>
      </c>
      <c r="S365" s="2">
        <f>0.280428592410402*(8350/2783.333)</f>
        <v>0.84128587798400445</v>
      </c>
      <c r="T365" s="2">
        <f t="shared" si="85"/>
        <v>0.10069243236843764</v>
      </c>
      <c r="U365" s="2">
        <f t="shared" si="86"/>
        <v>0.11437794326585224</v>
      </c>
      <c r="V365" s="2">
        <f t="shared" si="87"/>
        <v>0.11043877033537902</v>
      </c>
      <c r="W365" s="2">
        <f t="shared" si="88"/>
        <v>0.10705744606724045</v>
      </c>
      <c r="X365" s="2">
        <f t="shared" si="89"/>
        <v>0.11728533803050227</v>
      </c>
      <c r="Y365" s="2">
        <f t="shared" si="90"/>
        <v>0.10928020503416074</v>
      </c>
      <c r="Z365" s="2">
        <f t="shared" si="91"/>
        <v>0.10579568013572224</v>
      </c>
      <c r="AA365" s="2">
        <f t="shared" si="92"/>
        <v>0.11798772791544039</v>
      </c>
      <c r="AB365" s="2">
        <f t="shared" si="93"/>
        <v>0.10026757173055721</v>
      </c>
      <c r="AC365" s="2">
        <f t="shared" si="94"/>
        <v>0.1151901624778385</v>
      </c>
      <c r="AD365" s="2">
        <f t="shared" si="95"/>
        <v>0.10227444344259566</v>
      </c>
      <c r="AE365" s="2">
        <f t="shared" si="96"/>
        <v>0.10987695088187602</v>
      </c>
      <c r="AF365" s="2">
        <f t="shared" si="97"/>
        <v>0.11908712371493149</v>
      </c>
      <c r="AG365" s="2">
        <f t="shared" si="98"/>
        <v>9.9235315312320327E-2</v>
      </c>
      <c r="AH365" s="2">
        <f t="shared" si="99"/>
        <v>0.1199891551819615</v>
      </c>
      <c r="AI365" s="2">
        <f t="shared" si="100"/>
        <v>0.10099811712417744</v>
      </c>
      <c r="AJ365" s="2">
        <f>0.228615163270612*(8350/2783.333)</f>
        <v>0.68584557194903106</v>
      </c>
      <c r="AK365" s="2">
        <f>0.35163676683916*(8350/2783.333)</f>
        <v>1.0549104268540586</v>
      </c>
      <c r="AL365" s="2">
        <f>0.251215143312599*(8350/2783.333)</f>
        <v>0.7536455201947454</v>
      </c>
      <c r="AM365" s="2">
        <f>0.270011784764278*(8350/2783.333)</f>
        <v>0.8100354513030682</v>
      </c>
      <c r="AN365" s="2">
        <f>0.289747803143483*(8350/2783.333)</f>
        <v>0.86924351353146734</v>
      </c>
      <c r="AO365" s="2">
        <f>0.122973558739615*(8350/2783.333)</f>
        <v>0.36892072040096602</v>
      </c>
      <c r="AP365" s="2">
        <f>0.206232860678604*(8350/2783.333)</f>
        <v>0.61869865613145825</v>
      </c>
      <c r="AQ365" s="2">
        <f>0.196667097333394*(8350/2783.333)</f>
        <v>0.59000136265902692</v>
      </c>
      <c r="AR365" s="2">
        <f>0.229819491016919*(8350/2783.333)</f>
        <v>0.68945855562064395</v>
      </c>
      <c r="AS365" s="2">
        <f>0.22654366892753*(8350/2783.333)</f>
        <v>0.6796310881755343</v>
      </c>
      <c r="AT365" s="2">
        <f>0.192641579296118*(8350/2783.333)</f>
        <v>0.57792480710090544</v>
      </c>
      <c r="AU365" s="2">
        <f>0.168517095249783*(8350/2783.333)</f>
        <v>0.50555134629441956</v>
      </c>
      <c r="AV365" s="2">
        <f>0.113538422610808*(8350/2783.333)</f>
        <v>0.34061530862467709</v>
      </c>
      <c r="AW365" s="2">
        <f>0.0895297383917606*(8350/2783.333)</f>
        <v>0.26858924734165873</v>
      </c>
    </row>
    <row r="366" spans="1:49" x14ac:dyDescent="0.25">
      <c r="A366" s="6" t="s">
        <v>1</v>
      </c>
      <c r="B366" s="7">
        <f>SUM(B3:B365)</f>
        <v>312.8599068149357</v>
      </c>
      <c r="C366" s="7">
        <f t="shared" ref="C366:AW366" si="101">SUM(C3:C365)</f>
        <v>311.14164692903461</v>
      </c>
      <c r="D366" s="7">
        <f t="shared" si="101"/>
        <v>236.52555884508763</v>
      </c>
      <c r="E366" s="7">
        <f t="shared" si="101"/>
        <v>274.19153971998702</v>
      </c>
      <c r="F366" s="7">
        <f t="shared" si="101"/>
        <v>230.89289035498174</v>
      </c>
      <c r="G366" s="7">
        <f t="shared" si="101"/>
        <v>275.00599323780835</v>
      </c>
      <c r="H366" s="7">
        <f t="shared" si="101"/>
        <v>272.81264495668614</v>
      </c>
      <c r="I366" s="7">
        <f t="shared" si="101"/>
        <v>264.31819140301059</v>
      </c>
      <c r="J366" s="7">
        <f t="shared" si="101"/>
        <v>220.08589157676781</v>
      </c>
      <c r="K366" s="7">
        <f t="shared" si="101"/>
        <v>285.48739913080789</v>
      </c>
      <c r="L366" s="7">
        <f t="shared" si="101"/>
        <v>272.07551655584007</v>
      </c>
      <c r="M366" s="7">
        <f t="shared" si="101"/>
        <v>353.7669065878485</v>
      </c>
      <c r="N366" s="7">
        <f t="shared" si="101"/>
        <v>333.02180122682557</v>
      </c>
      <c r="O366" s="7">
        <f t="shared" si="101"/>
        <v>338.1269893092923</v>
      </c>
      <c r="P366" s="7">
        <f t="shared" si="101"/>
        <v>401.74675964210024</v>
      </c>
      <c r="Q366" s="7">
        <f t="shared" si="101"/>
        <v>422.45386628652039</v>
      </c>
      <c r="R366" s="7">
        <f t="shared" si="101"/>
        <v>332.92230256781534</v>
      </c>
      <c r="S366" s="7">
        <f t="shared" si="101"/>
        <v>125.78194590335448</v>
      </c>
      <c r="T366" s="7">
        <f t="shared" si="101"/>
        <v>36.551352949742864</v>
      </c>
      <c r="U366" s="7">
        <f t="shared" si="101"/>
        <v>41.519193405503977</v>
      </c>
      <c r="V366" s="7">
        <f t="shared" si="101"/>
        <v>40.089273631742401</v>
      </c>
      <c r="W366" s="7">
        <f t="shared" si="101"/>
        <v>38.861852922408239</v>
      </c>
      <c r="X366" s="7">
        <f t="shared" si="101"/>
        <v>42.574577705072592</v>
      </c>
      <c r="Y366" s="7">
        <f t="shared" si="101"/>
        <v>39.668714427400232</v>
      </c>
      <c r="Z366" s="7">
        <f t="shared" si="101"/>
        <v>38.403831889266876</v>
      </c>
      <c r="AA366" s="7">
        <f t="shared" si="101"/>
        <v>42.829545233305062</v>
      </c>
      <c r="AB366" s="7">
        <f t="shared" si="101"/>
        <v>36.397128538192334</v>
      </c>
      <c r="AC366" s="7">
        <f t="shared" si="101"/>
        <v>41.814028979455209</v>
      </c>
      <c r="AD366" s="7">
        <f t="shared" si="101"/>
        <v>37.125622969662317</v>
      </c>
      <c r="AE366" s="7">
        <f t="shared" si="101"/>
        <v>39.885333170121058</v>
      </c>
      <c r="AF366" s="7">
        <f t="shared" si="101"/>
        <v>43.228625908520208</v>
      </c>
      <c r="AG366" s="7">
        <f t="shared" si="101"/>
        <v>36.022419458372312</v>
      </c>
      <c r="AH366" s="7">
        <f t="shared" si="101"/>
        <v>43.556063331052137</v>
      </c>
      <c r="AI366" s="7">
        <f t="shared" si="101"/>
        <v>36.662316516076466</v>
      </c>
      <c r="AJ366" s="7">
        <f t="shared" si="101"/>
        <v>98.854087726115225</v>
      </c>
      <c r="AK366" s="7">
        <f t="shared" si="101"/>
        <v>220.04280365772973</v>
      </c>
      <c r="AL366" s="7">
        <f t="shared" si="101"/>
        <v>208.5640682094085</v>
      </c>
      <c r="AM366" s="7">
        <f t="shared" si="101"/>
        <v>244.14785774421878</v>
      </c>
      <c r="AN366" s="7">
        <f t="shared" si="101"/>
        <v>235.79138677987694</v>
      </c>
      <c r="AO366" s="7">
        <f t="shared" si="101"/>
        <v>118.27446071485869</v>
      </c>
      <c r="AP366" s="7">
        <f t="shared" si="101"/>
        <v>137.58648701420293</v>
      </c>
      <c r="AQ366" s="7">
        <f t="shared" si="101"/>
        <v>153.34242134100845</v>
      </c>
      <c r="AR366" s="7">
        <f t="shared" si="101"/>
        <v>193.79861664602961</v>
      </c>
      <c r="AS366" s="7">
        <f t="shared" si="101"/>
        <v>200.90647432400357</v>
      </c>
      <c r="AT366" s="7">
        <f t="shared" si="101"/>
        <v>199.98805135459531</v>
      </c>
      <c r="AU366" s="7">
        <f t="shared" si="101"/>
        <v>168.9785471392787</v>
      </c>
      <c r="AV366" s="7">
        <f t="shared" si="101"/>
        <v>130.11830070112109</v>
      </c>
      <c r="AW366" s="7">
        <f t="shared" si="101"/>
        <v>113.28450957799402</v>
      </c>
    </row>
    <row r="367" spans="1:49" x14ac:dyDescent="0.25">
      <c r="B367" s="4">
        <v>0</v>
      </c>
      <c r="C367" s="4">
        <v>2.0833333333333332E-2</v>
      </c>
      <c r="D367" s="4">
        <v>4.1666666666666699E-2</v>
      </c>
      <c r="E367" s="4">
        <v>6.25E-2</v>
      </c>
      <c r="F367" s="4">
        <v>8.3333333333333301E-2</v>
      </c>
      <c r="G367" s="4">
        <v>0.104166666666667</v>
      </c>
      <c r="H367" s="4">
        <v>0.125</v>
      </c>
      <c r="I367" s="4">
        <v>0.14583333333333301</v>
      </c>
      <c r="J367" s="4">
        <v>0.16666666666666699</v>
      </c>
      <c r="K367" s="4">
        <v>0.1875</v>
      </c>
      <c r="L367" s="4">
        <v>0.20833333333333301</v>
      </c>
      <c r="M367" s="4">
        <v>0.22916666666666699</v>
      </c>
      <c r="N367" s="4">
        <v>0.25</v>
      </c>
      <c r="O367" s="4">
        <v>0.27083333333333298</v>
      </c>
      <c r="P367" s="4">
        <v>0.29166666666666702</v>
      </c>
      <c r="Q367" s="4">
        <v>0.3125</v>
      </c>
      <c r="R367" s="4">
        <v>0.33333333333333298</v>
      </c>
      <c r="S367" s="4">
        <v>0.35416666666666702</v>
      </c>
      <c r="T367" s="4">
        <v>0.375</v>
      </c>
      <c r="U367" s="4">
        <v>0.39583333333333298</v>
      </c>
      <c r="V367" s="4">
        <v>0.41666666666666702</v>
      </c>
      <c r="W367" s="4">
        <v>0.4375</v>
      </c>
      <c r="X367" s="4">
        <v>0.45833333333333298</v>
      </c>
      <c r="Y367" s="4">
        <v>0.47916666666666702</v>
      </c>
      <c r="Z367" s="4">
        <v>0.5</v>
      </c>
      <c r="AA367" s="4">
        <v>0.52083333333333304</v>
      </c>
      <c r="AB367" s="4">
        <v>0.54166666666666696</v>
      </c>
      <c r="AC367" s="4">
        <v>0.5625</v>
      </c>
      <c r="AD367" s="4">
        <v>0.58333333333333304</v>
      </c>
      <c r="AE367" s="4">
        <v>0.60416666666666696</v>
      </c>
      <c r="AF367" s="4">
        <v>0.625</v>
      </c>
      <c r="AG367" s="4">
        <v>0.64583333333333304</v>
      </c>
      <c r="AH367" s="4">
        <v>0.66666666666666696</v>
      </c>
      <c r="AI367" s="4">
        <v>0.6875</v>
      </c>
      <c r="AJ367" s="4">
        <v>0.70833333333333304</v>
      </c>
      <c r="AK367" s="4">
        <v>0.72916666666666696</v>
      </c>
      <c r="AL367" s="4">
        <v>0.75</v>
      </c>
      <c r="AM367" s="4">
        <v>0.77083333333333304</v>
      </c>
      <c r="AN367" s="4">
        <v>0.79166666666666696</v>
      </c>
      <c r="AO367" s="4">
        <v>0.8125</v>
      </c>
      <c r="AP367" s="4">
        <v>0.83333333333333304</v>
      </c>
      <c r="AQ367" s="4">
        <v>0.85416666666666696</v>
      </c>
      <c r="AR367" s="4">
        <v>0.875</v>
      </c>
      <c r="AS367" s="4">
        <v>0.89583333333333304</v>
      </c>
      <c r="AT367" s="4">
        <v>0.91666666666666696</v>
      </c>
      <c r="AU367" s="4">
        <v>0.9375</v>
      </c>
      <c r="AV367" s="4">
        <v>0.95833333333333304</v>
      </c>
      <c r="AW367" s="4">
        <v>0.97916666666666696</v>
      </c>
    </row>
    <row r="369" spans="1:3" x14ac:dyDescent="0.25">
      <c r="A369" s="6" t="s">
        <v>2</v>
      </c>
      <c r="B369" s="8">
        <f>SUM(B366:AW366)</f>
        <v>8322.0857050150389</v>
      </c>
      <c r="C369" s="8"/>
    </row>
  </sheetData>
  <mergeCells count="1">
    <mergeCell ref="B369:C369"/>
  </mergeCells>
  <pageMargins left="0.75" right="0.75" top="1" bottom="1" header="0.5" footer="0.5"/>
  <ignoredErrors>
    <ignoredError sqref="B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Savage</cp:lastModifiedBy>
  <dcterms:created xsi:type="dcterms:W3CDTF">2025-12-08T00:46:04Z</dcterms:created>
  <dcterms:modified xsi:type="dcterms:W3CDTF">2025-12-08T01:10:20Z</dcterms:modified>
</cp:coreProperties>
</file>